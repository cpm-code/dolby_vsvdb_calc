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filterPrivacy="1" codeName="ThisWorkbook" defaultThemeVersion="166925"/>
  <xr:revisionPtr revIDLastSave="0" documentId="13_ncr:1_{77AC5FA9-4A53-42F2-B589-2B80544D2606}" xr6:coauthVersionLast="47" xr6:coauthVersionMax="47" xr10:uidLastSave="{00000000-0000-0000-0000-000000000000}"/>
  <bookViews>
    <workbookView xWindow="274" yWindow="206" windowWidth="30317" windowHeight="17485" activeTab="2" xr2:uid="{DE808AFE-8AFE-4111-8161-9EF8B03B2A2C}"/>
  </bookViews>
  <sheets>
    <sheet name="ALL DV Settings" sheetId="17" r:id="rId1"/>
    <sheet name="Player Led (HDR) Settings" sheetId="18" r:id="rId2"/>
    <sheet name="HDR InfoFrame Settings" sheetId="19" r:id="rId3"/>
  </sheets>
  <functionGroups builtInGroupCount="19"/>
  <definedNames>
    <definedName name="HDR10Plus" localSheetId="2">'HDR InfoFrame Settings'!$J$2</definedName>
    <definedName name="HDR10Plus">'ALL DV Settings'!$J$2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7" l="1"/>
  <c r="C7" i="18"/>
  <c r="K7" i="18"/>
  <c r="H7" i="18"/>
  <c r="M4" i="19"/>
  <c r="L4" i="19"/>
  <c r="K4" i="19"/>
  <c r="J4" i="19"/>
  <c r="I4" i="19"/>
  <c r="H4" i="19"/>
  <c r="G4" i="19"/>
  <c r="F4" i="19"/>
  <c r="E4" i="19"/>
  <c r="D4" i="19"/>
  <c r="C4" i="19"/>
  <c r="B4" i="19"/>
  <c r="B6" i="19"/>
  <c r="L6" i="18"/>
  <c r="L7" i="18" s="1"/>
  <c r="S6" i="18"/>
  <c r="S7" i="18" s="1"/>
  <c r="R6" i="18"/>
  <c r="R7" i="18" s="1"/>
  <c r="Q6" i="18"/>
  <c r="Q7" i="18" s="1"/>
  <c r="P6" i="18"/>
  <c r="P7" i="18" s="1"/>
  <c r="N6" i="18"/>
  <c r="N7" i="18" s="1"/>
  <c r="S6" i="17"/>
  <c r="S7" i="17" s="1"/>
  <c r="R6" i="17"/>
  <c r="R7" i="17" s="1"/>
  <c r="Q6" i="17"/>
  <c r="Q7" i="17" s="1"/>
  <c r="P6" i="17"/>
  <c r="P7" i="17" s="1"/>
  <c r="N6" i="17"/>
  <c r="N7" i="17" s="1"/>
  <c r="L6" i="17"/>
  <c r="L7" i="17" s="1"/>
  <c r="K7" i="17"/>
  <c r="H7" i="17"/>
  <c r="I6" i="19"/>
  <c r="H6" i="19"/>
  <c r="G6" i="19"/>
  <c r="F6" i="19"/>
  <c r="D6" i="19"/>
  <c r="E6" i="19"/>
  <c r="C6" i="19"/>
  <c r="O7" i="18"/>
  <c r="M7" i="18"/>
  <c r="G7" i="18"/>
  <c r="E7" i="18"/>
  <c r="D7" i="18"/>
  <c r="O7" i="17"/>
  <c r="M7" i="17"/>
  <c r="G7" i="17"/>
  <c r="E7" i="17"/>
  <c r="D7" i="17"/>
  <c r="O15" i="17" a="1"/>
  <c r="R37" i="18" a="1"/>
  <c r="O39" i="18" a="1"/>
  <c r="O23" i="18" a="1"/>
  <c r="R40" i="18" a="1"/>
  <c r="O16" i="17" a="1"/>
  <c r="O27" i="17" a="1"/>
  <c r="R35" i="18" a="1"/>
  <c r="O14" i="17" a="1"/>
  <c r="O37" i="17" a="1"/>
  <c r="R13" i="18" a="1"/>
  <c r="R34" i="18" a="1"/>
  <c r="O29" i="17" a="1"/>
  <c r="R23" i="18" a="1"/>
  <c r="R41" i="18" a="1"/>
  <c r="R17" i="17" a="1"/>
  <c r="O41" i="18" a="1"/>
  <c r="O31" i="18" a="1"/>
  <c r="O18" i="17" a="1"/>
  <c r="O36" i="17" a="1"/>
  <c r="O19" i="18" a="1"/>
  <c r="O11" i="17" a="1"/>
  <c r="R16" i="18" a="1"/>
  <c r="O42" i="17" a="1"/>
  <c r="O34" i="17" a="1"/>
  <c r="R39" i="18" a="1"/>
  <c r="O30" i="18" a="1"/>
  <c r="O38" i="17" a="1"/>
  <c r="R18" i="18" a="1"/>
  <c r="O27" i="18" a="1"/>
  <c r="O37" i="18" a="1"/>
  <c r="O25" i="18" a="1"/>
  <c r="R22" i="18" a="1"/>
  <c r="R28" i="18" a="1"/>
  <c r="O28" i="18" a="1"/>
  <c r="O42" i="18" a="1"/>
  <c r="R14" i="18" a="1"/>
  <c r="O24" i="17" a="1"/>
  <c r="O24" i="18" a="1"/>
  <c r="R16" i="17" a="1"/>
  <c r="R11" i="18" a="1"/>
  <c r="R42" i="18" a="1"/>
  <c r="R36" i="18" a="1"/>
  <c r="R26" i="18" a="1"/>
  <c r="O12" i="18" a="1"/>
  <c r="O35" i="17" a="1"/>
  <c r="O14" i="18" a="1"/>
  <c r="O34" i="18" a="1"/>
  <c r="O15" i="18" a="1"/>
  <c r="O26" i="17" a="1"/>
  <c r="O32" i="17" a="1"/>
  <c r="O17" i="18" a="1"/>
  <c r="R15" i="18" a="1"/>
  <c r="O20" i="18" a="1"/>
  <c r="O17" i="17" a="1"/>
  <c r="O13" i="18" a="1"/>
  <c r="O20" i="17" a="1"/>
  <c r="O19" i="17" a="1"/>
  <c r="R25" i="18" a="1"/>
  <c r="O23" i="17" a="1"/>
  <c r="O41" i="17" a="1"/>
  <c r="O33" i="18" a="1"/>
  <c r="O32" i="18" a="1"/>
  <c r="O33" i="17" a="1"/>
  <c r="O21" i="18" a="1"/>
  <c r="R20" i="18" a="1"/>
  <c r="R29" i="18" a="1"/>
  <c r="R27" i="18" a="1"/>
  <c r="O18" i="18" a="1"/>
  <c r="O39" i="17" a="1"/>
  <c r="O29" i="18" a="1"/>
  <c r="O40" i="17" a="1"/>
  <c r="O28" i="17" a="1"/>
  <c r="O38" i="18" a="1"/>
  <c r="O13" i="17" a="1"/>
  <c r="O25" i="17" a="1"/>
  <c r="R38" i="18" a="1"/>
  <c r="O30" i="17" a="1"/>
  <c r="O16" i="18" a="1"/>
  <c r="O31" i="17" a="1"/>
  <c r="O21" i="17" a="1"/>
  <c r="R12" i="18" a="1"/>
  <c r="O12" i="17" a="1"/>
  <c r="O22" i="17" a="1"/>
  <c r="R17" i="18" a="1"/>
  <c r="R33" i="18" a="1"/>
  <c r="O26" i="18" a="1"/>
  <c r="O40" i="18" a="1"/>
  <c r="O36" i="18" a="1"/>
  <c r="R19" i="18" a="1"/>
  <c r="R21" i="18" a="1"/>
  <c r="O35" i="18" a="1"/>
  <c r="O11" i="18" a="1"/>
  <c r="O22" i="18" a="1"/>
  <c r="R31" i="18" a="1"/>
  <c r="R30" i="18" a="1"/>
  <c r="R24" i="18" a="1"/>
  <c r="R32" i="18" a="1"/>
  <c r="R17" i="18" l="1"/>
  <c r="O17" i="18"/>
  <c r="P17" i="18" s="1"/>
  <c r="R16" i="18"/>
  <c r="O16" i="18"/>
  <c r="P16" i="18" s="1"/>
  <c r="R16" i="17"/>
  <c r="O17" i="17"/>
  <c r="P17" i="17" s="1"/>
  <c r="R17" i="17"/>
  <c r="O16" i="17"/>
  <c r="P16" i="17" s="1"/>
  <c r="H8" i="19"/>
  <c r="N4" i="18"/>
  <c r="L4" i="18"/>
  <c r="B4" i="18"/>
  <c r="P4" i="18"/>
  <c r="O41" i="18"/>
  <c r="P41" i="18" s="1"/>
  <c r="O39" i="18"/>
  <c r="P39" i="18" s="1"/>
  <c r="O37" i="18"/>
  <c r="P37" i="18" s="1"/>
  <c r="R41" i="18"/>
  <c r="R39" i="18"/>
  <c r="O42" i="18"/>
  <c r="P42" i="18" s="1"/>
  <c r="O38" i="18"/>
  <c r="P38" i="18" s="1"/>
  <c r="O40" i="18"/>
  <c r="P40" i="18" s="1"/>
  <c r="R42" i="18"/>
  <c r="O11" i="18"/>
  <c r="P11" i="18" s="1"/>
  <c r="O13" i="18"/>
  <c r="P13" i="18" s="1"/>
  <c r="O15" i="18"/>
  <c r="P15" i="18" s="1"/>
  <c r="O19" i="18"/>
  <c r="P19" i="18" s="1"/>
  <c r="O21" i="18"/>
  <c r="P21" i="18" s="1"/>
  <c r="O23" i="18"/>
  <c r="P23" i="18" s="1"/>
  <c r="O25" i="18"/>
  <c r="P25" i="18" s="1"/>
  <c r="O27" i="18"/>
  <c r="P27" i="18" s="1"/>
  <c r="O29" i="18"/>
  <c r="P29" i="18" s="1"/>
  <c r="O31" i="18"/>
  <c r="P31" i="18" s="1"/>
  <c r="O33" i="18"/>
  <c r="P33" i="18" s="1"/>
  <c r="O35" i="18"/>
  <c r="P35" i="18" s="1"/>
  <c r="R11" i="18"/>
  <c r="R13" i="18"/>
  <c r="R15" i="18"/>
  <c r="R19" i="18"/>
  <c r="R21" i="18"/>
  <c r="R23" i="18"/>
  <c r="R25" i="18"/>
  <c r="R27" i="18"/>
  <c r="F7" i="18" s="1"/>
  <c r="R29" i="18"/>
  <c r="R31" i="18"/>
  <c r="R33" i="18"/>
  <c r="R35" i="18"/>
  <c r="R37" i="18"/>
  <c r="O12" i="18"/>
  <c r="P12" i="18" s="1"/>
  <c r="O14" i="18"/>
  <c r="P14" i="18" s="1"/>
  <c r="O18" i="18"/>
  <c r="P18" i="18" s="1"/>
  <c r="O20" i="18"/>
  <c r="P20" i="18" s="1"/>
  <c r="O22" i="18"/>
  <c r="P22" i="18" s="1"/>
  <c r="O24" i="18"/>
  <c r="P24" i="18" s="1"/>
  <c r="O26" i="18"/>
  <c r="P26" i="18" s="1"/>
  <c r="O28" i="18"/>
  <c r="P28" i="18" s="1"/>
  <c r="O30" i="18"/>
  <c r="P30" i="18" s="1"/>
  <c r="O32" i="18"/>
  <c r="P32" i="18" s="1"/>
  <c r="O34" i="18"/>
  <c r="P34" i="18" s="1"/>
  <c r="O36" i="18"/>
  <c r="P36" i="18" s="1"/>
  <c r="R12" i="18"/>
  <c r="R14" i="18"/>
  <c r="R18" i="18"/>
  <c r="R20" i="18"/>
  <c r="R22" i="18"/>
  <c r="R24" i="18"/>
  <c r="R26" i="18"/>
  <c r="R28" i="18"/>
  <c r="R30" i="18"/>
  <c r="R32" i="18"/>
  <c r="R34" i="18"/>
  <c r="R36" i="18"/>
  <c r="R38" i="18"/>
  <c r="R40" i="18"/>
  <c r="R4" i="18"/>
  <c r="O42" i="17"/>
  <c r="O27" i="17"/>
  <c r="O41" i="17"/>
  <c r="O21" i="17"/>
  <c r="O14" i="17"/>
  <c r="O13" i="17"/>
  <c r="O37" i="17"/>
  <c r="O22" i="17"/>
  <c r="O40" i="17"/>
  <c r="O30" i="17"/>
  <c r="O39" i="17"/>
  <c r="O34" i="17"/>
  <c r="O29" i="17"/>
  <c r="O24" i="17"/>
  <c r="O19" i="17"/>
  <c r="O12" i="17"/>
  <c r="O25" i="17"/>
  <c r="O32" i="17"/>
  <c r="O15" i="17"/>
  <c r="O36" i="17"/>
  <c r="O31" i="17"/>
  <c r="O26" i="17"/>
  <c r="O35" i="17"/>
  <c r="O20" i="17"/>
  <c r="O38" i="17"/>
  <c r="O33" i="17"/>
  <c r="O28" i="17"/>
  <c r="O23" i="17"/>
  <c r="O18" i="17"/>
  <c r="O11" i="17"/>
  <c r="B4" i="17"/>
  <c r="P4" i="17"/>
  <c r="N4" i="17"/>
  <c r="L4" i="17"/>
  <c r="R4" i="17"/>
  <c r="R23" i="17" a="1"/>
  <c r="R19" i="17" a="1"/>
  <c r="R38" i="17" a="1"/>
  <c r="R34" i="17" a="1"/>
  <c r="R37" i="17" a="1"/>
  <c r="R13" i="17" a="1"/>
  <c r="R20" i="17" a="1"/>
  <c r="R18" i="17" a="1"/>
  <c r="R31" i="17" a="1"/>
  <c r="R26" i="17" a="1"/>
  <c r="R36" i="17" a="1"/>
  <c r="R29" i="17" a="1"/>
  <c r="R40" i="17" a="1"/>
  <c r="R15" i="17" a="1"/>
  <c r="R14" i="17" a="1"/>
  <c r="R27" i="17" a="1"/>
  <c r="R30" i="17" a="1"/>
  <c r="R24" i="17" a="1"/>
  <c r="R42" i="17" a="1"/>
  <c r="R33" i="17" a="1"/>
  <c r="R41" i="17" a="1"/>
  <c r="R12" i="17" a="1"/>
  <c r="R39" i="17" a="1"/>
  <c r="R21" i="17" a="1"/>
  <c r="R35" i="17" a="1"/>
  <c r="R28" i="17" a="1"/>
  <c r="R32" i="17" a="1"/>
  <c r="R22" i="17" a="1"/>
  <c r="R11" i="17" a="1"/>
  <c r="R25" i="17" a="1"/>
  <c r="I7" i="18" l="1"/>
  <c r="I4" i="18" s="1"/>
  <c r="F4" i="18"/>
  <c r="P27" i="17"/>
  <c r="P36" i="17"/>
  <c r="R42" i="17"/>
  <c r="R19" i="17"/>
  <c r="R26" i="17"/>
  <c r="P14" i="17"/>
  <c r="R30" i="17"/>
  <c r="R36" i="17"/>
  <c r="R32" i="17"/>
  <c r="R31" i="17"/>
  <c r="R40" i="17"/>
  <c r="P28" i="17"/>
  <c r="P26" i="17"/>
  <c r="R25" i="17"/>
  <c r="R13" i="17"/>
  <c r="R14" i="17"/>
  <c r="R34" i="17"/>
  <c r="R18" i="17"/>
  <c r="P31" i="17"/>
  <c r="P13" i="17"/>
  <c r="P40" i="17"/>
  <c r="R39" i="17"/>
  <c r="P25" i="17"/>
  <c r="P41" i="17"/>
  <c r="P34" i="17"/>
  <c r="R29" i="17"/>
  <c r="P30" i="17"/>
  <c r="P21" i="17"/>
  <c r="R28" i="17"/>
  <c r="P22" i="17"/>
  <c r="R20" i="17"/>
  <c r="R23" i="17"/>
  <c r="R37" i="17"/>
  <c r="P37" i="17"/>
  <c r="P15" i="17"/>
  <c r="P38" i="17"/>
  <c r="R21" i="17"/>
  <c r="R24" i="17"/>
  <c r="P42" i="17"/>
  <c r="P29" i="17"/>
  <c r="R38" i="17"/>
  <c r="P12" i="17"/>
  <c r="P20" i="17"/>
  <c r="R41" i="17"/>
  <c r="P33" i="17"/>
  <c r="R15" i="17"/>
  <c r="P35" i="17"/>
  <c r="R11" i="17"/>
  <c r="P23" i="17"/>
  <c r="R22" i="17"/>
  <c r="R12" i="17"/>
  <c r="P11" i="17"/>
  <c r="R33" i="17"/>
  <c r="R35" i="17"/>
  <c r="P39" i="17"/>
  <c r="P19" i="17"/>
  <c r="R27" i="17"/>
  <c r="P32" i="17"/>
  <c r="P24" i="17"/>
  <c r="P18" i="17"/>
  <c r="I7" i="17" l="1"/>
  <c r="I4" i="17" s="1"/>
  <c r="F7" i="17"/>
  <c r="F4" i="17" s="1"/>
  <c r="F9" i="18"/>
  <c r="F9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<sst xmlns="http://schemas.openxmlformats.org/spreadsheetml/2006/main" count="229" uniqueCount="90">
  <si>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</si>
  <si>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</si>
  <si>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</si>
  <si>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</si>
  <si>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</si>
  <si>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</si>
  <si>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</si>
  <si>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</si>
  <si>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</si>
  <si>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</si>
  <si>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</si>
  <si>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</si>
  <si>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</si>
  <si>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</si>
  <si>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</si>
  <si>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</si>
  <si>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</si>
  <si>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</si>
  <si>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75 nits</t>
  </si>
  <si>
    <t>100 nits</t>
  </si>
  <si>
    <t>10</t>
  </si>
  <si>
    <t>11</t>
  </si>
  <si>
    <t>Disabled</t>
  </si>
  <si>
    <t>Color Space: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</si>
  <si>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</si>
  <si>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</si>
  <si>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</si>
  <si>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</si>
  <si>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</si>
  <si>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</si>
  <si>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</si>
  <si>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</si>
  <si>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</si>
  <si>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</si>
  <si>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</si>
  <si>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</si>
  <si>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</si>
  <si>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</si>
  <si>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</si>
  <si>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</si>
  <si>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</si>
  <si>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</si>
  <si>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</si>
  <si>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</si>
  <si>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</si>
  <si>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</si>
  <si>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</si>
  <si>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</si>
  <si>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</si>
  <si>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</si>
  <si>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</si>
  <si>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</si>
  <si>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MaxL nits</t>
  </si>
  <si>
    <t>MinL nits</t>
  </si>
  <si>
    <t>LS12000 Native</t>
  </si>
  <si>
    <t>m0j0</t>
  </si>
  <si>
    <t>MaxL (dec)</t>
  </si>
  <si>
    <t>MinL (dec)</t>
  </si>
  <si>
    <t>MaxL nits (int)</t>
  </si>
  <si>
    <t>Based on Excels from: https://github.com/xnappo/ez_dv_edid_fw/archive/refs/heads/main.zip</t>
  </si>
  <si>
    <t>Dolby VSVDB (V2) Payload</t>
  </si>
  <si>
    <t>CUSTOM</t>
  </si>
  <si>
    <t>WPx</t>
  </si>
  <si>
    <t>MaxCLL</t>
  </si>
  <si>
    <t>MaxDL</t>
  </si>
  <si>
    <t>MinDL</t>
  </si>
  <si>
    <t>WPy</t>
  </si>
  <si>
    <t>White Point</t>
  </si>
  <si>
    <t>D65</t>
  </si>
  <si>
    <t>P3-DCI</t>
  </si>
  <si>
    <t>P3-D60</t>
  </si>
  <si>
    <t>White Point:</t>
  </si>
  <si>
    <t>https://en.wikipedia.org/wiki/Rec._2020, https://en.wikipedia.org/wiki/DCI-P3</t>
  </si>
  <si>
    <t>HDR InfoFrame Metadata</t>
  </si>
  <si>
    <t>HDR InfoFrame Metadata:</t>
  </si>
  <si>
    <t>Player Led (HDR)</t>
  </si>
  <si>
    <t>Original</t>
  </si>
  <si>
    <t>LEGEND:</t>
  </si>
  <si>
    <t>DO NOT TOUCH - System Calculated Values</t>
  </si>
  <si>
    <t>DO NOT TOUCH - Pre-defined Values or Labels</t>
  </si>
  <si>
    <t>Cell to Enter data or Select data</t>
  </si>
  <si>
    <t>Min Value</t>
  </si>
  <si>
    <t>Max Value</t>
  </si>
  <si>
    <t>https://en.wikipedia.org/wiki/Standard_illuminant</t>
  </si>
  <si>
    <t>MaxFALL</t>
  </si>
  <si>
    <t>UNKNOWN</t>
  </si>
  <si>
    <t>FOR UNKNOWN "MaxCLL" PUT 0 (ZERO) on "MaxCLL" - FOR UNKNOWN "MaxFALL" PUT 0 (ZERO) on "MaxFALL"</t>
  </si>
  <si>
    <t>FOR UNKNOWN DISPLAY LUMINANCE PUT 0 (ZERO) ON BOTH "MaxDL" AND "MinDL" FIELDS</t>
  </si>
  <si>
    <t>4.x</t>
  </si>
  <si>
    <t>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</si>
</sst>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5"/>
      <color rgb="FF393A34"/>
      <name val="Consolas"/>
      <family val="2"/>
    </font>
    <font>
      <sz val="18"/>
      <color rgb="FFFF0000"/>
      <name val="Consolas"/>
      <family val="3"/>
    </font>
    <font>
      <b/>
      <sz val="16"/>
      <name val="Consolas"/>
      <family val="2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8" xfId="0" applyBorder="1" applyProtection="1">
      <protection locked="0"/>
    </xf>
    <xf numFmtId="164" fontId="0" fillId="0" borderId="28" xfId="0" applyNumberForma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0" fontId="8" fillId="0" borderId="0" xfId="0" applyFont="1"/>
    <xf numFmtId="0" fontId="2" fillId="2" borderId="17" xfId="0" applyFont="1" applyFill="1" applyBorder="1"/>
    <xf numFmtId="0" fontId="0" fillId="0" borderId="4" xfId="0" applyBorder="1"/>
    <xf numFmtId="0" fontId="0" fillId="0" borderId="28" xfId="0" applyBorder="1"/>
    <xf numFmtId="0" fontId="0" fillId="3" borderId="28" xfId="0" applyFill="1" applyBorder="1"/>
    <xf numFmtId="0" fontId="2" fillId="3" borderId="28" xfId="0" quotePrefix="1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0" fillId="2" borderId="28" xfId="0" applyFill="1" applyBorder="1"/>
    <xf numFmtId="0" fontId="2" fillId="2" borderId="28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164" fontId="0" fillId="2" borderId="28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5" fillId="2" borderId="4" xfId="0" applyFont="1" applyFill="1" applyBorder="1" applyAlignment="1">
      <alignment horizontal="left"/>
    </xf>
    <xf numFmtId="0" fontId="0" fillId="2" borderId="3" xfId="0" applyFill="1" applyBorder="1"/>
    <xf numFmtId="0" fontId="4" fillId="0" borderId="3" xfId="0" applyFont="1" applyBorder="1" applyAlignment="1">
      <alignment horizontal="left"/>
    </xf>
    <xf numFmtId="0" fontId="0" fillId="0" borderId="3" xfId="0" applyBorder="1"/>
    <xf numFmtId="0" fontId="5" fillId="0" borderId="3" xfId="0" applyFont="1" applyBorder="1" applyAlignment="1">
      <alignment horizontal="left"/>
    </xf>
    <xf numFmtId="0" fontId="0" fillId="0" borderId="1" xfId="0" applyBorder="1"/>
    <xf numFmtId="0" fontId="1" fillId="0" borderId="0" xfId="0" applyFont="1" applyAlignment="1">
      <alignment horizontal="left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0" fillId="2" borderId="0" xfId="0" quotePrefix="1" applyFill="1"/>
    <xf numFmtId="164" fontId="0" fillId="2" borderId="0" xfId="0" applyNumberFormat="1" applyFill="1"/>
    <xf numFmtId="0" fontId="7" fillId="2" borderId="0" xfId="1" applyFill="1" applyBorder="1" applyProtection="1"/>
    <xf numFmtId="0" fontId="3" fillId="0" borderId="0" xfId="0" applyFont="1"/>
    <xf numFmtId="0" fontId="0" fillId="2" borderId="0" xfId="0" applyFill="1"/>
    <xf numFmtId="0" fontId="7" fillId="0" borderId="21" xfId="1" applyBorder="1" applyProtection="1"/>
    <xf numFmtId="0" fontId="2" fillId="2" borderId="0" xfId="0" quotePrefix="1" applyFont="1" applyFill="1" applyAlignment="1">
      <alignment horizontal="center"/>
    </xf>
    <xf numFmtId="1" fontId="0" fillId="0" borderId="0" xfId="0" applyNumberFormat="1"/>
    <xf numFmtId="0" fontId="0" fillId="2" borderId="0" xfId="0" quotePrefix="1" applyFill="1" applyAlignment="1">
      <alignment horizontal="left"/>
    </xf>
    <xf numFmtId="166" fontId="0" fillId="2" borderId="0" xfId="0" quotePrefix="1" applyNumberFormat="1" applyFill="1" applyAlignment="1">
      <alignment horizontal="right"/>
    </xf>
    <xf numFmtId="166" fontId="0" fillId="2" borderId="0" xfId="0" applyNumberFormat="1" applyFill="1"/>
    <xf numFmtId="0" fontId="0" fillId="2" borderId="0" xfId="0" applyFill="1" applyAlignment="1">
      <alignment horizontal="left"/>
    </xf>
    <xf numFmtId="166" fontId="0" fillId="2" borderId="0" xfId="0" applyNumberFormat="1" applyFill="1" applyAlignment="1">
      <alignment horizontal="right"/>
    </xf>
    <xf numFmtId="0" fontId="7" fillId="0" borderId="0" xfId="1" applyProtection="1"/>
    <xf numFmtId="49" fontId="0" fillId="0" borderId="0" xfId="0" applyNumberFormat="1"/>
    <xf numFmtId="0" fontId="6" fillId="0" borderId="0" xfId="0" applyFont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 wrapText="1"/>
    </xf>
    <xf numFmtId="0" fontId="2" fillId="2" borderId="7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2" borderId="19" xfId="0" applyNumberFormat="1" applyFill="1" applyBorder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0" fontId="0" fillId="2" borderId="8" xfId="0" quotePrefix="1" applyFill="1" applyBorder="1" applyAlignment="1">
      <alignment horizontal="center"/>
    </xf>
    <xf numFmtId="0" fontId="0" fillId="2" borderId="9" xfId="0" quotePrefix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3" xfId="0" applyBorder="1"/>
    <xf numFmtId="0" fontId="2" fillId="0" borderId="23" xfId="0" applyFont="1" applyBorder="1" applyAlignment="1">
      <alignment horizontal="center"/>
    </xf>
    <xf numFmtId="0" fontId="0" fillId="0" borderId="24" xfId="0" applyBorder="1"/>
    <xf numFmtId="1" fontId="0" fillId="2" borderId="14" xfId="0" applyNumberFormat="1" applyFill="1" applyBorder="1"/>
    <xf numFmtId="1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21" xfId="0" applyBorder="1"/>
    <xf numFmtId="0" fontId="0" fillId="2" borderId="0" xfId="0" quotePrefix="1" applyFill="1" applyAlignment="1">
      <alignment horizontal="right"/>
    </xf>
    <xf numFmtId="49" fontId="0" fillId="0" borderId="21" xfId="0" applyNumberFormat="1" applyBorder="1"/>
    <xf numFmtId="1" fontId="0" fillId="2" borderId="25" xfId="0" applyNumberFormat="1" applyFill="1" applyBorder="1"/>
    <xf numFmtId="1" fontId="0" fillId="2" borderId="26" xfId="0" applyNumberFormat="1" applyFill="1" applyBorder="1"/>
    <xf numFmtId="0" fontId="0" fillId="2" borderId="26" xfId="0" applyFill="1" applyBorder="1"/>
    <xf numFmtId="0" fontId="0" fillId="0" borderId="26" xfId="0" applyBorder="1"/>
    <xf numFmtId="0" fontId="0" fillId="0" borderId="27" xfId="0" applyBorder="1"/>
    <xf numFmtId="49" fontId="0" fillId="2" borderId="0" xfId="0" applyNumberFormat="1" applyFill="1" applyAlignment="1">
      <alignment horizontal="right"/>
    </xf>
    <xf numFmtId="49" fontId="0" fillId="2" borderId="0" xfId="0" quotePrefix="1" applyNumberFormat="1" applyFill="1" applyAlignment="1">
      <alignment horizontal="right"/>
    </xf>
    <xf numFmtId="0" fontId="0" fillId="0" borderId="21" xfId="0" applyBorder="1" applyAlignment="1">
      <alignment horizontal="center"/>
    </xf>
    <xf numFmtId="164" fontId="0" fillId="4" borderId="0" xfId="0" applyNumberFormat="1" applyFill="1"/>
    <xf numFmtId="165" fontId="0" fillId="0" borderId="11" xfId="0" applyNumberFormat="1" applyBorder="1" applyAlignment="1" applyProtection="1">
      <alignment horizontal="center"/>
      <protection locked="0"/>
    </xf>
    <xf numFmtId="164" fontId="0" fillId="0" borderId="28" xfId="0" applyNumberFormat="1" applyBorder="1" applyProtection="1">
      <protection locked="0"/>
    </xf>
    <xf numFmtId="0" fontId="0" fillId="0" borderId="4" xfId="0" applyBorder="1" applyProtection="1">
      <protection locked="0"/>
    </xf>
    <xf numFmtId="166" fontId="0" fillId="0" borderId="28" xfId="0" quotePrefix="1" applyNumberFormat="1" applyBorder="1" applyAlignment="1" applyProtection="1">
      <alignment horizontal="right"/>
      <protection locked="0"/>
    </xf>
    <xf numFmtId="166" fontId="0" fillId="0" borderId="28" xfId="0" applyNumberFormat="1" applyBorder="1" applyProtection="1">
      <protection locked="0"/>
    </xf>
    <xf numFmtId="0" fontId="0" fillId="0" borderId="12" xfId="0" quotePrefix="1" applyBorder="1" applyAlignment="1" applyProtection="1">
      <alignment horizontal="center"/>
      <protection locked="0"/>
    </xf>
    <xf numFmtId="0" fontId="9" fillId="0" borderId="0" xfId="0" applyFont="1"/>
    <xf numFmtId="0" fontId="0" fillId="0" borderId="0" xfId="0" quotePrefix="1"/>
    <xf numFmtId="0" fontId="0" fillId="0" borderId="26" xfId="0" quotePrefix="1" applyBorder="1"/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5" fillId="2" borderId="4" xfId="0" applyFont="1" applyFill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2" fillId="3" borderId="3" xfId="0" quotePrefix="1" applyFont="1" applyFill="1" applyBorder="1" applyAlignment="1">
      <alignment horizontal="center"/>
    </xf>
    <xf numFmtId="0" fontId="2" fillId="3" borderId="4" xfId="0" quotePrefix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2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2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76111706079361E-2"/>
          <c:y val="2.320064326629083E-2"/>
          <c:w val="0.8712569431800169"/>
          <c:h val="0.9011236643469771"/>
        </c:manualLayout>
      </c:layout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8E7DEDD2-32EF-45BE-9A8F-6338FA5D0E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14E537-9F00-4731-AF0E-B4FF881BE4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23-4902-B54A-78FA55CE4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F44FF4-88C9-4EFB-955E-6AFDE41048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23-4902-B54A-78FA55CE48E7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C71EF181-792A-490A-9314-1CF0B04120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4FBC6D-FFFB-4C43-ACA8-B6121612E2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82A-4F37-896B-45774085C581}"/>
                </c:ext>
              </c:extLst>
            </c:dLbl>
            <c:dLbl>
              <c:idx val="5"/>
              <c:layout>
                <c:manualLayout>
                  <c:x val="-2.9885605198213842E-3"/>
                  <c:y val="2.1859902466967451E-2"/>
                </c:manualLayout>
              </c:layout>
              <c:tx>
                <c:rich>
                  <a:bodyPr/>
                  <a:lstStyle/>
                  <a:p>
                    <a:fld id="{F2570B18-4D0C-49A4-809E-7F10299729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A177-48EE-BA1D-8E9EBA23E7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'ALL DV Settings'!$V$24:$V$29</c:f>
              <c:numCache>
                <c:formatCode>0.0000</c:formatCode>
                <c:ptCount val="6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  <c:pt idx="4">
                  <c:v>0.66700000000000004</c:v>
                </c:pt>
                <c:pt idx="5">
                  <c:v>0.74990000000000001</c:v>
                </c:pt>
              </c:numCache>
            </c:numRef>
          </c:xVal>
          <c:yVal>
            <c:numRef>
              <c:f>'ALL DV Settings'!$W$24:$W$29</c:f>
              <c:numCache>
                <c:formatCode>0.0000</c:formatCode>
                <c:ptCount val="6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  <c:pt idx="4">
                  <c:v>0.33100000000000002</c:v>
                </c:pt>
                <c:pt idx="5">
                  <c:v>0.24610000000000001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'ALL DV Settings'!$U$24:$U$29</c15:f>
                <c15:dlblRangeCache>
                  <c:ptCount val="6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  <c:pt idx="4">
                    <c:v>m0j0</c:v>
                  </c:pt>
                  <c:pt idx="5">
                    <c:v>CUSTOM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823-4902-B54A-78FA55CE48E7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949846D-8AA9-47D8-9B5E-1CC5CDE3E9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688D72-99E6-40B8-8C10-F1B19A4BCA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23-4902-B54A-78FA55CE4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3BEB6D-2F3F-436A-805B-AA90EBD9DB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23-4902-B54A-78FA55CE48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961AF6-DF84-468B-97FE-BB8F9C823F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5F973E-7D89-4EE7-B91D-35C9AA5173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2A-4F37-896B-45774085C5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9F4E22-32D5-47AA-A814-17E4EF828A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77-48EE-BA1D-8E9EBA23E7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'ALL DV Settings'!$X$24:$X$29</c:f>
              <c:numCache>
                <c:formatCode>0.0000</c:formatCode>
                <c:ptCount val="6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  <c:pt idx="4">
                  <c:v>0.26500000000000001</c:v>
                </c:pt>
                <c:pt idx="5">
                  <c:v>3.8999999999999998E-3</c:v>
                </c:pt>
              </c:numCache>
            </c:numRef>
          </c:xVal>
          <c:yVal>
            <c:numRef>
              <c:f>'ALL DV Settings'!$Y$24:$Y$29</c:f>
              <c:numCache>
                <c:formatCode>0.0000</c:formatCode>
                <c:ptCount val="6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  <c:pt idx="4">
                  <c:v>0.69</c:v>
                </c:pt>
                <c:pt idx="5">
                  <c:v>0.99609999999999999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'ALL DV Settings'!$U$24:$U$29</c15:f>
                <c15:dlblRangeCache>
                  <c:ptCount val="6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  <c:pt idx="4">
                    <c:v>m0j0</c:v>
                  </c:pt>
                  <c:pt idx="5">
                    <c:v>CUSTOM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823-4902-B54A-78FA55CE48E7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F1C9E6F1-770C-48B1-AF3E-E487F00B80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C0B2C5-912E-4F60-8174-DD93578AFC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23-4902-B54A-78FA55CE48E7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AEA76388-5AD0-4FF5-849B-23EE8EA851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823-4902-B54A-78FA55CE48E7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A4579EE3-EE84-462F-AF1B-00939300E6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0937FF-80D8-4208-852B-3B15213BDD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2A-4F37-896B-45774085C5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E57F77-6F1D-4BE3-9E5B-444F5263BF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77-48EE-BA1D-8E9EBA23E7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'ALL DV Settings'!$Z$24:$Z$29</c:f>
              <c:numCache>
                <c:formatCode>0.0000</c:formatCode>
                <c:ptCount val="6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  <c:pt idx="4">
                  <c:v>0.14799999999999999</c:v>
                </c:pt>
                <c:pt idx="5">
                  <c:v>0.12889999999999999</c:v>
                </c:pt>
              </c:numCache>
            </c:numRef>
          </c:xVal>
          <c:yVal>
            <c:numRef>
              <c:f>'ALL DV Settings'!$AA$24:$AA$29</c:f>
              <c:numCache>
                <c:formatCode>0.0000</c:formatCode>
                <c:ptCount val="6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  <c:pt idx="4">
                  <c:v>0.06</c:v>
                </c:pt>
                <c:pt idx="5">
                  <c:v>3.5099999999999999E-2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'ALL DV Settings'!$U$24:$U$29</c15:f>
                <c15:dlblRangeCache>
                  <c:ptCount val="6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  <c:pt idx="4">
                    <c:v>m0j0</c:v>
                  </c:pt>
                  <c:pt idx="5">
                    <c:v>CUSTOM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0823-4902-B54A-78FA55CE48E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76111706079361E-2"/>
          <c:y val="2.320064326629083E-2"/>
          <c:w val="0.8712569431800169"/>
          <c:h val="0.9011236643469771"/>
        </c:manualLayout>
      </c:layout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04936732476753E-3"/>
                  <c:y val="-1.3133205344904341E-2"/>
                </c:manualLayout>
              </c:layout>
              <c:tx>
                <c:rich>
                  <a:bodyPr/>
                  <a:lstStyle/>
                  <a:p>
                    <a:fld id="{CA26DF0F-ED2B-4195-866D-DB1B2B7751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A8E-4C00-A02A-B367E4F69A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1D55D6-986F-4E83-9D52-1EE00619D0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8E-4C00-A02A-B367E4F69A7D}"/>
                </c:ext>
              </c:extLst>
            </c:dLbl>
            <c:dLbl>
              <c:idx val="2"/>
              <c:layout>
                <c:manualLayout>
                  <c:x val="-1.8029620394860627E-2"/>
                  <c:y val="2.6266410689808603E-2"/>
                </c:manualLayout>
              </c:layout>
              <c:tx>
                <c:rich>
                  <a:bodyPr/>
                  <a:lstStyle/>
                  <a:p>
                    <a:fld id="{2FC89569-47C7-41E6-9C5B-325346D4E8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A8E-4C00-A02A-B367E4F69A7D}"/>
                </c:ext>
              </c:extLst>
            </c:dLbl>
            <c:dLbl>
              <c:idx val="3"/>
              <c:layout>
                <c:manualLayout>
                  <c:x val="3.0049363769790796E-3"/>
                  <c:y val="-1.9699808017356515E-2"/>
                </c:manualLayout>
              </c:layout>
              <c:tx>
                <c:rich>
                  <a:bodyPr/>
                  <a:lstStyle/>
                  <a:p>
                    <a:fld id="{135261E0-C722-4CA2-AAB5-9BACD92029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A8E-4C00-A02A-B367E4F69A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ABA5C8-E95C-496C-97FB-3F08667A36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8E-4C00-A02A-B367E4F69A7D}"/>
                </c:ext>
              </c:extLst>
            </c:dLbl>
            <c:dLbl>
              <c:idx val="5"/>
              <c:layout>
                <c:manualLayout>
                  <c:x val="-4.5074045654685648E-3"/>
                  <c:y val="1.7510940459872375E-2"/>
                </c:manualLayout>
              </c:layout>
              <c:tx>
                <c:rich>
                  <a:bodyPr/>
                  <a:lstStyle/>
                  <a:p>
                    <a:fld id="{9ABA57B0-CD82-47BF-AECC-146747117D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8A8E-4C00-A02A-B367E4F69A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'Player Led (HDR) Settings'!$V$22:$V$27</c:f>
              <c:numCache>
                <c:formatCode>0.0000</c:formatCode>
                <c:ptCount val="6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  <c:pt idx="4">
                  <c:v>0.66700000000000004</c:v>
                </c:pt>
                <c:pt idx="5">
                  <c:v>0.74990000000000001</c:v>
                </c:pt>
              </c:numCache>
            </c:numRef>
          </c:xVal>
          <c:yVal>
            <c:numRef>
              <c:f>'Player Led (HDR) Settings'!$W$22:$W$27</c:f>
              <c:numCache>
                <c:formatCode>0.0000</c:formatCode>
                <c:ptCount val="6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  <c:pt idx="4">
                  <c:v>0.33100000000000002</c:v>
                </c:pt>
                <c:pt idx="5">
                  <c:v>0.24610000000000001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'Player Led (HDR) Settings'!$U$22:$U$27</c15:f>
                <c15:dlblRangeCache>
                  <c:ptCount val="6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  <c:pt idx="4">
                    <c:v>m0j0</c:v>
                  </c:pt>
                  <c:pt idx="5">
                    <c:v>CUSTOM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A8E-4C00-A02A-B367E4F69A7D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5C05F8D-93B6-4E40-A38C-0332D53755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8E-4C00-A02A-B367E4F69A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7768F1-D1C2-42BF-A2C6-8849461FBB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8E-4C00-A02A-B367E4F69A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ABC606-1D71-439A-85C3-31FD59B410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8E-4C00-A02A-B367E4F69A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320F5F-4746-475E-A5D4-945A149C35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8E-4C00-A02A-B367E4F69A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9B511E-B6E8-4BE3-849B-5A85405008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8E-4C00-A02A-B367E4F69A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EC51BD-1F47-4975-812B-F81795CECF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8E-4C00-A02A-B367E4F69A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'Player Led (HDR) Settings'!$X$22:$X$27</c:f>
              <c:numCache>
                <c:formatCode>0.0000</c:formatCode>
                <c:ptCount val="6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  <c:pt idx="4">
                  <c:v>0.26500000000000001</c:v>
                </c:pt>
                <c:pt idx="5">
                  <c:v>3.8999999999999998E-3</c:v>
                </c:pt>
              </c:numCache>
            </c:numRef>
          </c:xVal>
          <c:yVal>
            <c:numRef>
              <c:f>'Player Led (HDR) Settings'!$Y$22:$Y$27</c:f>
              <c:numCache>
                <c:formatCode>0.0000</c:formatCode>
                <c:ptCount val="6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  <c:pt idx="4">
                  <c:v>0.69</c:v>
                </c:pt>
                <c:pt idx="5">
                  <c:v>0.99609999999999999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'Player Led (HDR) Settings'!$U$22:$U$27</c15:f>
                <c15:dlblRangeCache>
                  <c:ptCount val="6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  <c:pt idx="4">
                    <c:v>m0j0</c:v>
                  </c:pt>
                  <c:pt idx="5">
                    <c:v>CUSTOM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8A8E-4C00-A02A-B367E4F69A7D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52F1E53-5B1C-48A9-B84B-7DA369EB49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8E-4C00-A02A-B367E4F69A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E8FD4C-FF5D-40F3-A99B-1CCEF516CE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8E-4C00-A02A-B367E4F69A7D}"/>
                </c:ext>
              </c:extLst>
            </c:dLbl>
            <c:dLbl>
              <c:idx val="2"/>
              <c:layout>
                <c:manualLayout>
                  <c:x val="-6.696501508324447E-2"/>
                  <c:y val="-2.4077543132324627E-2"/>
                </c:manualLayout>
              </c:layout>
              <c:tx>
                <c:rich>
                  <a:bodyPr/>
                  <a:lstStyle/>
                  <a:p>
                    <a:fld id="{CE7C02A7-0472-45C0-AB31-141F98FA0E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8A8E-4C00-A02A-B367E4F69A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60B73E-824C-47D4-8F99-F12E37D5E3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8E-4C00-A02A-B367E4F69A7D}"/>
                </c:ext>
              </c:extLst>
            </c:dLbl>
            <c:dLbl>
              <c:idx val="4"/>
              <c:layout>
                <c:manualLayout>
                  <c:x val="-1.5723272300386754E-2"/>
                  <c:y val="-3.9399616034713029E-2"/>
                </c:manualLayout>
              </c:layout>
              <c:tx>
                <c:rich>
                  <a:bodyPr/>
                  <a:lstStyle/>
                  <a:p>
                    <a:fld id="{6BA24FC9-0D4B-4FAD-ACC3-FB0A0AA942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8A8E-4C00-A02A-B367E4F69A7D}"/>
                </c:ext>
              </c:extLst>
            </c:dLbl>
            <c:dLbl>
              <c:idx val="5"/>
              <c:layout>
                <c:manualLayout>
                  <c:x val="-7.4747801220359261E-2"/>
                  <c:y val="1.0944337787420124E-2"/>
                </c:manualLayout>
              </c:layout>
              <c:tx>
                <c:rich>
                  <a:bodyPr/>
                  <a:lstStyle/>
                  <a:p>
                    <a:fld id="{0E78F684-D0E9-49C6-A163-F01480BE38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8A8E-4C00-A02A-B367E4F69A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'Player Led (HDR) Settings'!$Z$22:$Z$27</c:f>
              <c:numCache>
                <c:formatCode>0.0000</c:formatCode>
                <c:ptCount val="6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  <c:pt idx="4">
                  <c:v>0.14799999999999999</c:v>
                </c:pt>
                <c:pt idx="5">
                  <c:v>0.12889999999999999</c:v>
                </c:pt>
              </c:numCache>
            </c:numRef>
          </c:xVal>
          <c:yVal>
            <c:numRef>
              <c:f>'Player Led (HDR) Settings'!$AA$22:$AA$27</c:f>
              <c:numCache>
                <c:formatCode>0.0000</c:formatCode>
                <c:ptCount val="6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  <c:pt idx="4">
                  <c:v>0.06</c:v>
                </c:pt>
                <c:pt idx="5">
                  <c:v>3.5099999999999999E-2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'Player Led (HDR) Settings'!$U$22:$U$27</c15:f>
                <c15:dlblRangeCache>
                  <c:ptCount val="6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  <c:pt idx="4">
                    <c:v>m0j0</c:v>
                  </c:pt>
                  <c:pt idx="5">
                    <c:v>CUSTOM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8A8E-4C00-A02A-B367E4F69A7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76111706079361E-2"/>
          <c:y val="2.320064326629083E-2"/>
          <c:w val="0.8712569431800169"/>
          <c:h val="0.9011236643469771"/>
        </c:manualLayout>
      </c:layout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4C57B034-FFF3-466F-B186-5F4ADC5226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AAF-4E05-B9BC-5F52644834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F0DA8E-4E86-460F-9934-7EA2DAF913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AF-4E05-B9BC-5F52644834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617047-1622-4C4E-AEEB-75F3D4ADD1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AF-4E05-B9BC-5F5264483449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490DDCFA-BB81-44C3-ADF5-AD2FA56263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AAF-4E05-B9BC-5F52644834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B19BF4-E84F-474B-B19C-C40AFCB865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AF-4E05-B9BC-5F52644834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7729C9-9FF7-4D33-BFA8-4BE006F742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AF-4E05-B9BC-5F52644834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87A4B8-DAF4-474A-BBDB-83A3DCEA07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2E-4E86-B2E2-4D954CAC09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'HDR InfoFrame Settings'!$S$11:$S$17</c:f>
              <c:numCache>
                <c:formatCode>0.0000</c:formatCode>
                <c:ptCount val="7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  <c:pt idx="4">
                  <c:v>0.66700000000000004</c:v>
                </c:pt>
                <c:pt idx="5">
                  <c:v>0</c:v>
                </c:pt>
                <c:pt idx="6">
                  <c:v>0.74990000000000001</c:v>
                </c:pt>
              </c:numCache>
            </c:numRef>
          </c:xVal>
          <c:yVal>
            <c:numRef>
              <c:f>'HDR InfoFrame Settings'!$T$11:$T$17</c:f>
              <c:numCache>
                <c:formatCode>0.0000</c:formatCode>
                <c:ptCount val="7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  <c:pt idx="4">
                  <c:v>0.33100000000000002</c:v>
                </c:pt>
                <c:pt idx="5">
                  <c:v>0</c:v>
                </c:pt>
                <c:pt idx="6">
                  <c:v>0.24610000000000001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'HDR InfoFrame Settings'!$R$11:$R$17</c15:f>
                <c15:dlblRangeCache>
                  <c:ptCount val="7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  <c:pt idx="4">
                    <c:v>m0j0</c:v>
                  </c:pt>
                  <c:pt idx="5">
                    <c:v>UNKNOWN</c:v>
                  </c:pt>
                  <c:pt idx="6">
                    <c:v>CUSTOM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9AAF-4E05-B9BC-5F5264483449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27B1BC-C796-431D-824A-88571C6975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AF-4E05-B9BC-5F52644834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2EF10D-E9BA-446A-A3AE-A5393DE8B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AF-4E05-B9BC-5F52644834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6A13CC-D275-4123-AE3E-D43127DE07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AF-4E05-B9BC-5F52644834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3735A5-C1BB-4256-ADE8-0395F9A395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AF-4E05-B9BC-5F52644834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3813D4-51BA-47DD-9006-1993D582DF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AF-4E05-B9BC-5F52644834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A4E451-6029-468B-A13C-81D134DA1A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AF-4E05-B9BC-5F52644834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A00ADE-D30D-493C-A2D1-B339980329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2E-4E86-B2E2-4D954CAC09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'HDR InfoFrame Settings'!$U$11:$U$17</c:f>
              <c:numCache>
                <c:formatCode>0.0000</c:formatCode>
                <c:ptCount val="7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  <c:pt idx="4">
                  <c:v>0.26500000000000001</c:v>
                </c:pt>
                <c:pt idx="5">
                  <c:v>0</c:v>
                </c:pt>
                <c:pt idx="6">
                  <c:v>3.8999999999999998E-3</c:v>
                </c:pt>
              </c:numCache>
            </c:numRef>
          </c:xVal>
          <c:yVal>
            <c:numRef>
              <c:f>'HDR InfoFrame Settings'!$V$11:$V$17</c:f>
              <c:numCache>
                <c:formatCode>0.0000</c:formatCode>
                <c:ptCount val="7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  <c:pt idx="4">
                  <c:v>0.69</c:v>
                </c:pt>
                <c:pt idx="5">
                  <c:v>0</c:v>
                </c:pt>
                <c:pt idx="6">
                  <c:v>0.99609999999999999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'HDR InfoFrame Settings'!$R$11:$R$17</c15:f>
                <c15:dlblRangeCache>
                  <c:ptCount val="7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  <c:pt idx="4">
                    <c:v>m0j0</c:v>
                  </c:pt>
                  <c:pt idx="5">
                    <c:v>UNKNOWN</c:v>
                  </c:pt>
                  <c:pt idx="6">
                    <c:v>CUSTOM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9AAF-4E05-B9BC-5F5264483449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D3022F2D-31C0-4C3B-ABB8-BA0DCBE39B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AAF-4E05-B9BC-5F52644834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E3FE05-A3C4-4E41-93D5-A5776B0DF2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AF-4E05-B9BC-5F5264483449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490E136F-5428-4CF4-B34E-EB97BC1922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9AAF-4E05-B9BC-5F5264483449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80759D6F-2DDB-492C-A868-F91920BC77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9AAF-4E05-B9BC-5F52644834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E6CA24-6D7D-493E-AAA0-A2A005BF04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AF-4E05-B9BC-5F52644834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15B4F6-5F88-406F-BD4B-3EEC594474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AF-4E05-B9BC-5F52644834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BCE4787-7E71-4EF5-BE41-B2EA7C3CA4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2E-4E86-B2E2-4D954CAC09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'HDR InfoFrame Settings'!$W$11:$W$17</c:f>
              <c:numCache>
                <c:formatCode>0.0000</c:formatCode>
                <c:ptCount val="7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  <c:pt idx="4">
                  <c:v>0.14799999999999999</c:v>
                </c:pt>
                <c:pt idx="5">
                  <c:v>0</c:v>
                </c:pt>
                <c:pt idx="6">
                  <c:v>0.12889999999999999</c:v>
                </c:pt>
              </c:numCache>
            </c:numRef>
          </c:xVal>
          <c:yVal>
            <c:numRef>
              <c:f>'HDR InfoFrame Settings'!$X$11:$X$17</c:f>
              <c:numCache>
                <c:formatCode>0.0000</c:formatCode>
                <c:ptCount val="7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  <c:pt idx="4">
                  <c:v>0.06</c:v>
                </c:pt>
                <c:pt idx="5">
                  <c:v>0</c:v>
                </c:pt>
                <c:pt idx="6">
                  <c:v>3.5099999999999999E-2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'HDR InfoFrame Settings'!$R$11:$R$17</c15:f>
                <c15:dlblRangeCache>
                  <c:ptCount val="7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  <c:pt idx="4">
                    <c:v>m0j0</c:v>
                  </c:pt>
                  <c:pt idx="5">
                    <c:v>UNKNOWN</c:v>
                  </c:pt>
                  <c:pt idx="6">
                    <c:v>CUSTOM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AAF-4E05-B9BC-5F526448344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2668</xdr:colOff>
      <xdr:row>9</xdr:row>
      <xdr:rowOff>128434</xdr:rowOff>
    </xdr:from>
    <xdr:to>
      <xdr:col>13</xdr:col>
      <xdr:colOff>364671</xdr:colOff>
      <xdr:row>41</xdr:row>
      <xdr:rowOff>201386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10886</xdr:colOff>
      <xdr:row>9</xdr:row>
      <xdr:rowOff>114298</xdr:rowOff>
    </xdr:from>
    <xdr:to>
      <xdr:col>13</xdr:col>
      <xdr:colOff>321129</xdr:colOff>
      <xdr:row>42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565029-7190-429C-83DA-4B1F6BC50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13554</xdr:colOff>
      <xdr:row>8</xdr:row>
      <xdr:rowOff>95777</xdr:rowOff>
    </xdr:from>
    <xdr:to>
      <xdr:col>16</xdr:col>
      <xdr:colOff>631372</xdr:colOff>
      <xdr:row>47</xdr:row>
      <xdr:rowOff>65314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5CF993-A7C2-4F87-8023-3F483866D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iki/Rec._709" TargetMode="External"/><Relationship Id="rId2" Type="http://schemas.openxmlformats.org/officeDocument/2006/relationships/hyperlink" Target="https://en.wikipedia.org/wiki/Rec._2020" TargetMode="External"/><Relationship Id="rId1" Type="http://schemas.openxmlformats.org/officeDocument/2006/relationships/hyperlink" Target="https://en.wikipedia.org/wiki/DCI-P3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iki/Rec._709" TargetMode="External"/><Relationship Id="rId2" Type="http://schemas.openxmlformats.org/officeDocument/2006/relationships/hyperlink" Target="https://en.wikipedia.org/wiki/Rec._2020" TargetMode="External"/><Relationship Id="rId1" Type="http://schemas.openxmlformats.org/officeDocument/2006/relationships/hyperlink" Target="https://en.wikipedia.org/wiki/DCI-P3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https://en.wikipedia.org/wiki/DCI-P3" TargetMode="External"/><Relationship Id="rId7" Type="http://schemas.openxmlformats.org/officeDocument/2006/relationships/hyperlink" Target="https://en.wikipedia.org/wiki/Standard_illuminant" TargetMode="External"/><Relationship Id="rId2" Type="http://schemas.openxmlformats.org/officeDocument/2006/relationships/hyperlink" Target="https://en.wikipedia.org/wiki/DCI-P3" TargetMode="External"/><Relationship Id="rId1" Type="http://schemas.openxmlformats.org/officeDocument/2006/relationships/hyperlink" Target="https://en.wikipedia.org/wiki/Rec._2020" TargetMode="External"/><Relationship Id="rId6" Type="http://schemas.openxmlformats.org/officeDocument/2006/relationships/hyperlink" Target="https://en.wikipedia.org/wiki/Rec._709" TargetMode="External"/><Relationship Id="rId5" Type="http://schemas.openxmlformats.org/officeDocument/2006/relationships/hyperlink" Target="https://en.wikipedia.org/wiki/Rec._2020" TargetMode="External"/><Relationship Id="rId4" Type="http://schemas.openxmlformats.org/officeDocument/2006/relationships/hyperlink" Target="https://en.wikipedia.org/wiki/DCI-P3" TargetMode="External"/><Relationship Id="rId9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A0A7-B6ED-43C4-A6BD-9FF67442E2E8}">
  <sheetPr codeName="Sheet01"/>
  <dimension ref="B1:AL45"/>
  <sheetViews>
    <sheetView zoomScaleNormal="100" workbookViewId="0"/>
  </sheetViews>
  <sheetFormatPr defaultColWidth="8.84375" defaultRowHeight="14.6" x14ac:dyDescent="0.4"/>
  <cols>
    <col min="1" max="1" width="3.84375" customWidth="1"/>
    <col min="2" max="2" width="7.15234375" bestFit="1" customWidth="1"/>
    <col min="3" max="3" width="10.53515625" bestFit="1" customWidth="1"/>
    <col min="4" max="4" width="13.15234375" bestFit="1" customWidth="1"/>
    <col min="5" max="5" width="9.69140625" bestFit="1" customWidth="1"/>
    <col min="6" max="6" width="5.84375" bestFit="1" customWidth="1"/>
    <col min="7" max="7" width="13.15234375" bestFit="1" customWidth="1"/>
    <col min="8" max="8" width="8.15234375" bestFit="1" customWidth="1"/>
    <col min="9" max="9" width="6.15234375" customWidth="1"/>
    <col min="10" max="10" width="8.4609375" bestFit="1" customWidth="1"/>
    <col min="11" max="11" width="8.61328125" customWidth="1"/>
    <col min="12" max="12" width="11.07421875" bestFit="1" customWidth="1"/>
    <col min="13" max="13" width="13.15234375" bestFit="1" customWidth="1"/>
    <col min="14" max="14" width="7.84375" bestFit="1" customWidth="1"/>
    <col min="15" max="15" width="13.15234375" bestFit="1" customWidth="1"/>
    <col min="16" max="16" width="12.765625" bestFit="1" customWidth="1"/>
    <col min="17" max="17" width="10" bestFit="1" customWidth="1"/>
    <col min="18" max="18" width="8.4609375" bestFit="1" customWidth="1"/>
    <col min="19" max="19" width="9.61328125" bestFit="1" customWidth="1"/>
    <col min="20" max="20" width="3.07421875" customWidth="1"/>
    <col min="21" max="21" width="21.07421875" bestFit="1" customWidth="1"/>
    <col min="22" max="27" width="6.3828125" bestFit="1" customWidth="1"/>
    <col min="28" max="28" width="34.69140625" bestFit="1" customWidth="1"/>
    <col min="29" max="33" width="6.69140625" bestFit="1" customWidth="1"/>
    <col min="34" max="34" width="32.84375" bestFit="1" customWidth="1"/>
    <col min="37" max="37" width="32.84375" bestFit="1" customWidth="1"/>
  </cols>
  <sheetData>
    <row r="1" spans="2:28" ht="30.9" customHeight="1" thickBot="1" x14ac:dyDescent="0.95">
      <c r="B1" s="8" t="s">
        <v>76</v>
      </c>
      <c r="U1" t="s">
        <v>77</v>
      </c>
    </row>
    <row r="2" spans="2:28" ht="15" thickBot="1" x14ac:dyDescent="0.45">
      <c r="L2" s="9" t="s">
        <v>23</v>
      </c>
      <c r="M2" s="5" t="s">
        <v>33</v>
      </c>
      <c r="U2" s="11"/>
      <c r="V2" t="s">
        <v>80</v>
      </c>
    </row>
    <row r="3" spans="2:28" ht="15" thickBot="1" x14ac:dyDescent="0.45">
      <c r="U3" s="12"/>
      <c r="V3" t="s">
        <v>78</v>
      </c>
    </row>
    <row r="4" spans="2:28" ht="15" thickBot="1" x14ac:dyDescent="0.45">
      <c r="B4" s="105" t="str">
        <f>DEC2HEX(_xlfn.BITLSHIFT(BIN2DEC(B7),5)+_xlfn.BITLSHIFT(BIN2DEC(C7),2)+_xlfn.BITLSHIFT(BIN2DEC(D7),1)+BIN2DEC(E7))</f>
        <v>49</v>
      </c>
      <c r="C4" s="106"/>
      <c r="D4" s="106"/>
      <c r="E4" s="107"/>
      <c r="F4" s="108" t="str">
        <f>DEC2HEX(_xlfn.BITLSHIFT(BIN2DEC(F7),3)+_xlfn.BITLSHIFT(BIN2DEC(G7),2)+BIN2DEC(H7),2)</f>
        <v>0B</v>
      </c>
      <c r="G4" s="103"/>
      <c r="H4" s="104"/>
      <c r="I4" s="108" t="str">
        <f>DEC2HEX(_xlfn.BITLSHIFT(BIN2DEC(I7),3)+_xlfn.BITLSHIFT(BIN2DEC(J7),1)+BIN2DEC(K7),2)</f>
        <v>CA</v>
      </c>
      <c r="J4" s="103"/>
      <c r="K4" s="104"/>
      <c r="L4" s="103" t="str">
        <f>BIN2HEX(_xlfn.CONCAT(L7,M7),2)</f>
        <v>56</v>
      </c>
      <c r="M4" s="104"/>
      <c r="N4" s="103" t="str">
        <f>BIN2HEX(_xlfn.CONCAT(N7,O7),2)</f>
        <v>98</v>
      </c>
      <c r="O4" s="104"/>
      <c r="P4" s="103" t="str">
        <f>BIN2HEX(_xlfn.CONCAT(P7,Q7),2)</f>
        <v>A9</v>
      </c>
      <c r="Q4" s="104"/>
      <c r="R4" s="103" t="str">
        <f>BIN2HEX(_xlfn.CONCAT(R7,S7),2)</f>
        <v>53</v>
      </c>
      <c r="S4" s="104"/>
      <c r="U4" s="15"/>
      <c r="V4" t="s">
        <v>79</v>
      </c>
    </row>
    <row r="5" spans="2:28" ht="43.75" x14ac:dyDescent="0.4">
      <c r="B5" s="49" t="s">
        <v>4</v>
      </c>
      <c r="C5" s="50" t="s">
        <v>6</v>
      </c>
      <c r="D5" s="51" t="s">
        <v>10</v>
      </c>
      <c r="E5" s="52" t="s">
        <v>2</v>
      </c>
      <c r="F5" s="53" t="s">
        <v>50</v>
      </c>
      <c r="G5" s="51" t="s">
        <v>30</v>
      </c>
      <c r="H5" s="54" t="s">
        <v>49</v>
      </c>
      <c r="I5" s="53" t="s">
        <v>51</v>
      </c>
      <c r="J5" s="50" t="s">
        <v>5</v>
      </c>
      <c r="K5" s="52" t="s">
        <v>27</v>
      </c>
      <c r="L5" s="50" t="s">
        <v>48</v>
      </c>
      <c r="M5" s="52" t="s">
        <v>17</v>
      </c>
      <c r="N5" s="50" t="s">
        <v>47</v>
      </c>
      <c r="O5" s="52" t="s">
        <v>16</v>
      </c>
      <c r="P5" s="50" t="s">
        <v>46</v>
      </c>
      <c r="Q5" s="52" t="s">
        <v>8</v>
      </c>
      <c r="R5" s="50" t="s">
        <v>45</v>
      </c>
      <c r="S5" s="52" t="s">
        <v>7</v>
      </c>
    </row>
    <row r="6" spans="2:28" x14ac:dyDescent="0.4">
      <c r="B6" s="55">
        <v>2</v>
      </c>
      <c r="C6" s="2" t="s">
        <v>88</v>
      </c>
      <c r="D6" s="1" t="s">
        <v>12</v>
      </c>
      <c r="E6" s="2" t="s">
        <v>11</v>
      </c>
      <c r="F6" s="88">
        <v>1E-3</v>
      </c>
      <c r="G6" s="1" t="s">
        <v>12</v>
      </c>
      <c r="H6" s="93" t="s">
        <v>19</v>
      </c>
      <c r="I6" s="3">
        <v>4060</v>
      </c>
      <c r="J6" s="56">
        <v>0</v>
      </c>
      <c r="K6" s="2" t="s">
        <v>28</v>
      </c>
      <c r="L6" s="57">
        <f>INDEX($X$24:$X$29,MATCH(M2,$U$24:$U$29,0))</f>
        <v>0.17</v>
      </c>
      <c r="M6" s="4" t="s">
        <v>12</v>
      </c>
      <c r="N6" s="58">
        <f>INDEX($Y$24:$Y$29,MATCH($M$2,$U$24:$U$29,0))</f>
        <v>0.79700000000000004</v>
      </c>
      <c r="O6" s="4" t="s">
        <v>12</v>
      </c>
      <c r="P6" s="58">
        <f>INDEX($V$24:$V$29,MATCH($M$2,$U$24:$U$29,0))</f>
        <v>0.70799999999999996</v>
      </c>
      <c r="Q6" s="59">
        <f>INDEX($Z$24:$Z$29,MATCH($M$2,$U$24:$U$29,0))</f>
        <v>0.13100000000000001</v>
      </c>
      <c r="R6" s="57">
        <f>INDEX($W$24:$W$29,MATCH($M$2,$U$24:$U$29,0))</f>
        <v>0.29199999999999998</v>
      </c>
      <c r="S6" s="59">
        <f>INDEX($AA$24:$AA$29,MATCH($M$2,$U$24:$U$29,0))</f>
        <v>4.5999999999999999E-2</v>
      </c>
    </row>
    <row r="7" spans="2:28" s="21" customFormat="1" ht="15" thickBot="1" x14ac:dyDescent="0.45">
      <c r="B7" s="60" t="s">
        <v>9</v>
      </c>
      <c r="C7" s="61" t="str">
        <f>VLOOKUP(C6,$U$35:$V$36,2)</f>
        <v>010</v>
      </c>
      <c r="D7" s="62">
        <f>IF(EXACT(D6,"Supported"),1,0)</f>
        <v>0</v>
      </c>
      <c r="E7" s="63">
        <f>IF(EXACT(E6,"Supported"),1,0)</f>
        <v>1</v>
      </c>
      <c r="F7" s="64" t="str">
        <f>DEC2BIN(VLOOKUP(F6,$R$11:$S$42,2),5)</f>
        <v>00001</v>
      </c>
      <c r="G7" s="62">
        <f>IF(EXACT(G6,"Supported"),1,0)</f>
        <v>0</v>
      </c>
      <c r="H7" s="63" t="str">
        <f>IF(EXACT(D6,"Not Supported"),"11",INDEX($V$11:$V$14,MATCH(H6,$U$11:$U$14,0)))</f>
        <v>11</v>
      </c>
      <c r="I7" s="64" t="str">
        <f>DEC2BIN(VLOOKUP(I6,$P$11:$Q$42,2),5)</f>
        <v>11001</v>
      </c>
      <c r="J7" s="62">
        <v>0</v>
      </c>
      <c r="K7" s="63" t="str">
        <f>VLOOKUP(K6,$U$18:$V$21,2)</f>
        <v>10</v>
      </c>
      <c r="L7" s="65" t="str">
        <f>DEC2BIN(L6/( 0.49609375/127),7)</f>
        <v>0101011</v>
      </c>
      <c r="M7" s="66">
        <f>IF(AND(EXACT(M6,"Supported"),EXACT(O6,"Not Supported")),1,0)</f>
        <v>0</v>
      </c>
      <c r="N7" s="65" t="str">
        <f>DEC2BIN((N6-0.5)/((0.99609375-0.5)/127),7)</f>
        <v>1001100</v>
      </c>
      <c r="O7" s="66">
        <f>IF(AND(EXACT(O6,"Supported"),EXACT(M6,"Not Supported")),1,0)</f>
        <v>0</v>
      </c>
      <c r="P7" s="64" t="str">
        <f>DEC2BIN((P6-0.625)/((0.74609375-0.625)/31),5)</f>
        <v>10101</v>
      </c>
      <c r="Q7" s="67" t="str">
        <f>DEC2BIN((Q6-0.125)/((0.15234375-0.125)/7),3)</f>
        <v>001</v>
      </c>
      <c r="R7" s="64" t="str">
        <f>DEC2BIN((R6-0.25)/((0.37109375-0.25)/31),5)</f>
        <v>01010</v>
      </c>
      <c r="S7" s="67" t="str">
        <f>DEC2BIN((S6-0.03125)/((0.05859375-0.03125)/7),3)</f>
        <v>011</v>
      </c>
      <c r="T7"/>
    </row>
    <row r="8" spans="2:28" ht="15" thickBot="1" x14ac:dyDescent="0.45"/>
    <row r="9" spans="2:28" ht="23.6" thickBot="1" x14ac:dyDescent="0.65">
      <c r="B9" s="97" t="s">
        <v>60</v>
      </c>
      <c r="C9" s="98"/>
      <c r="D9" s="98"/>
      <c r="E9" s="99"/>
      <c r="F9" s="100" t="str">
        <f>_xlfn.CONCAT(B4:S4)</f>
        <v>490BCA5698A953</v>
      </c>
      <c r="G9" s="101"/>
      <c r="H9" s="102"/>
      <c r="I9" s="30"/>
      <c r="J9" s="30"/>
    </row>
    <row r="10" spans="2:28" x14ac:dyDescent="0.4">
      <c r="B10" s="30"/>
      <c r="O10" s="68" t="s">
        <v>52</v>
      </c>
      <c r="P10" s="69" t="s">
        <v>58</v>
      </c>
      <c r="Q10" s="69" t="s">
        <v>56</v>
      </c>
      <c r="R10" s="69" t="s">
        <v>53</v>
      </c>
      <c r="S10" s="69" t="s">
        <v>57</v>
      </c>
      <c r="T10" s="70"/>
      <c r="U10" s="69" t="s">
        <v>3</v>
      </c>
      <c r="V10" s="69" t="s">
        <v>24</v>
      </c>
      <c r="W10" s="71"/>
      <c r="X10" s="70"/>
      <c r="Y10" s="70"/>
      <c r="Z10" s="70"/>
      <c r="AA10" s="70"/>
      <c r="AB10" s="72"/>
    </row>
    <row r="11" spans="2:28" x14ac:dyDescent="0.4">
      <c r="B11" s="30"/>
      <c r="O11" s="73" cm="1">
        <f t="array" ref="O11">PQ2nits((2055+65*Q11)/(2055+31*65))</f>
        <v>96.892947435897241</v>
      </c>
      <c r="P11" s="74">
        <f t="shared" ref="P11:P42" si="0">INT(O11)</f>
        <v>96</v>
      </c>
      <c r="Q11" s="37">
        <v>0</v>
      </c>
      <c r="R11" s="37" cm="1">
        <f t="array" ref="R11">ROUND(PQ2nits((20*$Q11)/(2055+31*65)),3)</f>
        <v>0</v>
      </c>
      <c r="S11" s="37">
        <v>0</v>
      </c>
      <c r="U11" s="84" t="s">
        <v>15</v>
      </c>
      <c r="V11" s="85" t="s">
        <v>1</v>
      </c>
      <c r="AB11" s="76"/>
    </row>
    <row r="12" spans="2:28" x14ac:dyDescent="0.4">
      <c r="B12" s="30"/>
      <c r="O12" s="73" cm="1">
        <f t="array" ref="O12">PQ2nits((2055+65*Q12)/(2055+31*65))</f>
        <v>113.54849272653058</v>
      </c>
      <c r="P12" s="74">
        <f t="shared" si="0"/>
        <v>113</v>
      </c>
      <c r="Q12" s="37">
        <v>1</v>
      </c>
      <c r="R12" s="37" cm="1">
        <f t="array" ref="R12">ROUND(PQ2nits((20*$Q12)/(2055+31*65)),3)</f>
        <v>1E-3</v>
      </c>
      <c r="S12" s="37">
        <v>1</v>
      </c>
      <c r="U12" s="84" t="s">
        <v>14</v>
      </c>
      <c r="V12" s="85" t="s">
        <v>0</v>
      </c>
      <c r="AB12" s="76"/>
    </row>
    <row r="13" spans="2:28" x14ac:dyDescent="0.4">
      <c r="B13" s="30"/>
      <c r="O13" s="73" cm="1">
        <f t="array" ref="O13">PQ2nits((2055+65*Q13)/(2055+31*65))</f>
        <v>132.85537796729577</v>
      </c>
      <c r="P13" s="74">
        <f t="shared" si="0"/>
        <v>132</v>
      </c>
      <c r="Q13" s="37">
        <v>2</v>
      </c>
      <c r="R13" s="37" cm="1">
        <f t="array" ref="R13">ROUND(PQ2nits((20*$Q13)/(2055+31*65)),3)</f>
        <v>2E-3</v>
      </c>
      <c r="S13" s="37">
        <v>2</v>
      </c>
      <c r="U13" s="84" t="s">
        <v>18</v>
      </c>
      <c r="V13" s="85" t="s">
        <v>20</v>
      </c>
      <c r="AB13" s="76"/>
    </row>
    <row r="14" spans="2:28" x14ac:dyDescent="0.4">
      <c r="B14" s="30"/>
      <c r="O14" s="73" cm="1">
        <f t="array" ref="O14">PQ2nits((2055+65*Q14)/(2055+31*65))</f>
        <v>155.21994460137429</v>
      </c>
      <c r="P14" s="74">
        <f t="shared" si="0"/>
        <v>155</v>
      </c>
      <c r="Q14" s="37">
        <v>3</v>
      </c>
      <c r="R14" s="37" cm="1">
        <f t="array" ref="R14">ROUND(PQ2nits((20*$Q14)/(2055+31*65)),3)</f>
        <v>5.0000000000000001E-3</v>
      </c>
      <c r="S14" s="37">
        <v>3</v>
      </c>
      <c r="U14" s="85" t="s">
        <v>19</v>
      </c>
      <c r="V14" s="85" t="s">
        <v>21</v>
      </c>
      <c r="W14" s="21"/>
      <c r="Z14" s="21"/>
      <c r="AA14" s="21"/>
      <c r="AB14" s="86"/>
    </row>
    <row r="15" spans="2:28" x14ac:dyDescent="0.4">
      <c r="B15" s="30"/>
      <c r="O15" s="73" cm="1">
        <f t="array" ref="O15">PQ2nits((2055+65*Q15)/(2055+31*65))</f>
        <v>181.11079810347903</v>
      </c>
      <c r="P15" s="74">
        <f t="shared" si="0"/>
        <v>181</v>
      </c>
      <c r="Q15" s="37">
        <v>4</v>
      </c>
      <c r="R15" s="37" cm="1">
        <f t="array" ref="R15">ROUND(PQ2nits((20*$Q15)/(2055+31*65)),3)</f>
        <v>8.0000000000000002E-3</v>
      </c>
      <c r="S15" s="37">
        <v>4</v>
      </c>
      <c r="U15" s="75" t="s">
        <v>22</v>
      </c>
      <c r="V15" s="37">
        <v>11</v>
      </c>
      <c r="AB15" s="76"/>
    </row>
    <row r="16" spans="2:28" x14ac:dyDescent="0.4">
      <c r="B16" s="30"/>
      <c r="O16" s="73" cm="1">
        <f t="array" ref="O16">PQ2nits((2055+65*Q16)/(2055+31*65))</f>
        <v>211.06861673067306</v>
      </c>
      <c r="P16" s="74">
        <f t="shared" ref="P16:P17" si="1">INT(O16)</f>
        <v>211</v>
      </c>
      <c r="Q16" s="37">
        <v>5</v>
      </c>
      <c r="R16" s="37" cm="1">
        <f t="array" ref="R16">ROUND(PQ2nits((20*$Q16)/(2055+31*65)),3)</f>
        <v>1.2999999999999999E-2</v>
      </c>
      <c r="S16" s="37">
        <v>5</v>
      </c>
      <c r="AB16" s="76"/>
    </row>
    <row r="17" spans="2:28" x14ac:dyDescent="0.4">
      <c r="B17" s="30"/>
      <c r="O17" s="73" cm="1">
        <f t="array" ref="O17">PQ2nits((2055+65*Q17)/(2055+31*65))</f>
        <v>245.71757619655023</v>
      </c>
      <c r="P17" s="74">
        <f t="shared" si="1"/>
        <v>245</v>
      </c>
      <c r="Q17" s="37">
        <v>6</v>
      </c>
      <c r="R17" s="37" cm="1">
        <f t="array" ref="R17">ROUND(PQ2nits((20*$Q17)/(2055+31*65)),3)</f>
        <v>1.9E-2</v>
      </c>
      <c r="S17" s="37">
        <v>6</v>
      </c>
      <c r="U17" s="31" t="s">
        <v>27</v>
      </c>
      <c r="V17" s="31" t="s">
        <v>24</v>
      </c>
      <c r="AB17" s="76"/>
    </row>
    <row r="18" spans="2:28" ht="15.45" customHeight="1" x14ac:dyDescent="0.5">
      <c r="B18" s="30"/>
      <c r="K18" s="36"/>
      <c r="O18" s="73" cm="1">
        <f t="array" ref="O18">PQ2nits((2055+65*Q18)/(2055+31*65))</f>
        <v>285.77867132456396</v>
      </c>
      <c r="P18" s="74">
        <f t="shared" si="0"/>
        <v>285</v>
      </c>
      <c r="Q18" s="37">
        <v>7</v>
      </c>
      <c r="R18" s="37" cm="1">
        <f t="array" ref="R18">ROUND(PQ2nits((20*$Q18)/(2055+31*65)),3)</f>
        <v>2.5999999999999999E-2</v>
      </c>
      <c r="S18" s="37">
        <v>7</v>
      </c>
      <c r="U18" s="41" t="s">
        <v>25</v>
      </c>
      <c r="V18" s="77" t="s">
        <v>1</v>
      </c>
      <c r="AB18" s="76"/>
    </row>
    <row r="19" spans="2:28" x14ac:dyDescent="0.4">
      <c r="B19" s="30"/>
      <c r="O19" s="73" cm="1">
        <f t="array" ref="O19">PQ2nits((2055+65*Q19)/(2055+31*65))</f>
        <v>332.08526759956629</v>
      </c>
      <c r="P19" s="74">
        <f t="shared" si="0"/>
        <v>332</v>
      </c>
      <c r="Q19" s="37">
        <v>8</v>
      </c>
      <c r="R19" s="37" cm="1">
        <f t="array" ref="R19">ROUND(PQ2nits((20*$Q19)/(2055+31*65)),3)</f>
        <v>3.5000000000000003E-2</v>
      </c>
      <c r="S19" s="37">
        <v>8</v>
      </c>
      <c r="U19" s="41" t="s">
        <v>26</v>
      </c>
      <c r="V19" s="77" t="s">
        <v>0</v>
      </c>
      <c r="AB19" s="76"/>
    </row>
    <row r="20" spans="2:28" x14ac:dyDescent="0.4">
      <c r="B20" s="30"/>
      <c r="O20" s="73" cm="1">
        <f t="array" ref="O20">PQ2nits((2055+65*Q20)/(2055+31*65))</f>
        <v>385.60127757797198</v>
      </c>
      <c r="P20" s="74">
        <f t="shared" si="0"/>
        <v>385</v>
      </c>
      <c r="Q20" s="37">
        <v>9</v>
      </c>
      <c r="R20" s="37" cm="1">
        <f t="array" ref="R20">ROUND(PQ2nits((20*$Q20)/(2055+31*65)),3)</f>
        <v>4.5999999999999999E-2</v>
      </c>
      <c r="S20" s="37">
        <v>9</v>
      </c>
      <c r="U20" s="41" t="s">
        <v>28</v>
      </c>
      <c r="V20" s="77" t="s">
        <v>20</v>
      </c>
      <c r="AB20" s="76"/>
    </row>
    <row r="21" spans="2:28" x14ac:dyDescent="0.4">
      <c r="O21" s="73" cm="1">
        <f t="array" ref="O21">PQ2nits((2055+65*Q21)/(2055+31*65))</f>
        <v>447.44243145789636</v>
      </c>
      <c r="P21" s="74">
        <f t="shared" si="0"/>
        <v>447</v>
      </c>
      <c r="Q21" s="37">
        <v>10</v>
      </c>
      <c r="R21" s="37" cm="1">
        <f t="array" ref="R21">ROUND(PQ2nits((20*$Q21)/(2055+31*65)),3)</f>
        <v>5.8000000000000003E-2</v>
      </c>
      <c r="S21" s="37">
        <v>10</v>
      </c>
      <c r="U21" s="41" t="s">
        <v>29</v>
      </c>
      <c r="V21" s="77" t="s">
        <v>21</v>
      </c>
      <c r="AB21" s="76"/>
    </row>
    <row r="22" spans="2:28" x14ac:dyDescent="0.4">
      <c r="O22" s="73" cm="1">
        <f t="array" ref="O22">PQ2nits((2055+65*Q22)/(2055+31*65))</f>
        <v>518.90120035135783</v>
      </c>
      <c r="P22" s="74">
        <f t="shared" si="0"/>
        <v>518</v>
      </c>
      <c r="Q22" s="37">
        <v>11</v>
      </c>
      <c r="R22" s="37" cm="1">
        <f t="array" ref="R22">ROUND(PQ2nits((20*$Q22)/(2055+31*65)),3)</f>
        <v>7.1999999999999995E-2</v>
      </c>
      <c r="S22" s="37">
        <v>11</v>
      </c>
      <c r="AB22" s="76"/>
    </row>
    <row r="23" spans="2:28" x14ac:dyDescent="0.4">
      <c r="O23" s="73" cm="1">
        <f t="array" ref="O23">PQ2nits((2055+65*Q23)/(2055+31*65))</f>
        <v>601.47603811806903</v>
      </c>
      <c r="P23" s="74">
        <f t="shared" si="0"/>
        <v>601</v>
      </c>
      <c r="Q23" s="37">
        <v>12</v>
      </c>
      <c r="R23" s="37" cm="1">
        <f t="array" ref="R23">ROUND(PQ2nits((20*$Q23)/(2055+31*65)),3)</f>
        <v>8.7999999999999995E-2</v>
      </c>
      <c r="S23" s="37">
        <v>12</v>
      </c>
      <c r="U23" s="31" t="s">
        <v>31</v>
      </c>
      <c r="V23" s="31" t="s">
        <v>35</v>
      </c>
      <c r="W23" s="31" t="s">
        <v>36</v>
      </c>
      <c r="X23" s="31" t="s">
        <v>37</v>
      </c>
      <c r="Y23" s="31" t="s">
        <v>38</v>
      </c>
      <c r="Z23" s="31" t="s">
        <v>39</v>
      </c>
      <c r="AA23" s="31" t="s">
        <v>40</v>
      </c>
      <c r="AB23" s="32" t="s">
        <v>44</v>
      </c>
    </row>
    <row r="24" spans="2:28" x14ac:dyDescent="0.4">
      <c r="O24" s="73" cm="1">
        <f t="array" ref="O24">PQ2nits((2055+65*Q24)/(2055+31*65))</f>
        <v>696.90573691813393</v>
      </c>
      <c r="P24" s="74">
        <f t="shared" si="0"/>
        <v>696</v>
      </c>
      <c r="Q24" s="37">
        <v>13</v>
      </c>
      <c r="R24" s="37" cm="1">
        <f t="array" ref="R24">ROUND(PQ2nits((20*$Q24)/(2055+31*65)),3)</f>
        <v>0.106</v>
      </c>
      <c r="S24" s="37">
        <v>13</v>
      </c>
      <c r="U24" s="33" t="s">
        <v>32</v>
      </c>
      <c r="V24" s="34">
        <v>0.64</v>
      </c>
      <c r="W24" s="34">
        <v>0.33</v>
      </c>
      <c r="X24" s="34">
        <v>0.3</v>
      </c>
      <c r="Y24" s="34">
        <v>0.6</v>
      </c>
      <c r="Z24" s="34">
        <v>0.15</v>
      </c>
      <c r="AA24" s="34">
        <v>0.06</v>
      </c>
      <c r="AB24" s="35" t="s">
        <v>43</v>
      </c>
    </row>
    <row r="25" spans="2:28" x14ac:dyDescent="0.4">
      <c r="O25" s="73" cm="1">
        <f t="array" ref="O25">PQ2nits((2055+65*Q25)/(2055+31*65))</f>
        <v>807.20984771936151</v>
      </c>
      <c r="P25" s="74">
        <f t="shared" si="0"/>
        <v>807</v>
      </c>
      <c r="Q25" s="37">
        <v>14</v>
      </c>
      <c r="R25" s="37" cm="1">
        <f t="array" ref="R25">ROUND(PQ2nits((20*$Q25)/(2055+31*65)),3)</f>
        <v>0.127</v>
      </c>
      <c r="S25" s="37">
        <v>14</v>
      </c>
      <c r="U25" s="33" t="s">
        <v>33</v>
      </c>
      <c r="V25" s="34">
        <v>0.70799999999999996</v>
      </c>
      <c r="W25" s="34">
        <v>0.29199999999999998</v>
      </c>
      <c r="X25" s="34">
        <v>0.17</v>
      </c>
      <c r="Y25" s="34">
        <v>0.79700000000000004</v>
      </c>
      <c r="Z25" s="34">
        <v>0.13100000000000001</v>
      </c>
      <c r="AA25" s="34">
        <v>4.5999999999999999E-2</v>
      </c>
      <c r="AB25" s="35" t="s">
        <v>41</v>
      </c>
    </row>
    <row r="26" spans="2:28" x14ac:dyDescent="0.4">
      <c r="O26" s="73" cm="1">
        <f t="array" ref="O26">PQ2nits((2055+65*Q26)/(2055+31*65))</f>
        <v>934.73630576927678</v>
      </c>
      <c r="P26" s="74">
        <f t="shared" si="0"/>
        <v>934</v>
      </c>
      <c r="Q26" s="37">
        <v>15</v>
      </c>
      <c r="R26" s="37" cm="1">
        <f t="array" ref="R26">ROUND(PQ2nits((20*$Q26)/(2055+31*65)),3)</f>
        <v>0.15</v>
      </c>
      <c r="S26" s="37">
        <v>15</v>
      </c>
      <c r="U26" s="33" t="s">
        <v>34</v>
      </c>
      <c r="V26" s="34">
        <v>0.68</v>
      </c>
      <c r="W26" s="34">
        <v>0.32</v>
      </c>
      <c r="X26" s="34">
        <v>0.26500000000000001</v>
      </c>
      <c r="Y26" s="34">
        <v>0.69</v>
      </c>
      <c r="Z26" s="34">
        <v>0.15</v>
      </c>
      <c r="AA26" s="34">
        <v>0.06</v>
      </c>
      <c r="AB26" s="35" t="s">
        <v>42</v>
      </c>
    </row>
    <row r="27" spans="2:28" x14ac:dyDescent="0.4">
      <c r="O27" s="73" cm="1">
        <f t="array" ref="O27">PQ2nits((2055+65*Q27)/(2055+31*65))</f>
        <v>1082.2176298226216</v>
      </c>
      <c r="P27" s="74">
        <f t="shared" si="0"/>
        <v>1082</v>
      </c>
      <c r="Q27" s="37">
        <v>16</v>
      </c>
      <c r="R27" s="37" cm="1">
        <f t="array" ref="R27">ROUND(PQ2nits((20*$Q27)/(2055+31*65)),3)</f>
        <v>0.17599999999999999</v>
      </c>
      <c r="S27" s="37">
        <v>16</v>
      </c>
      <c r="U27" s="37" t="s">
        <v>54</v>
      </c>
      <c r="V27" s="34">
        <v>0.66700000000000004</v>
      </c>
      <c r="W27" s="34">
        <v>0.33100000000000002</v>
      </c>
      <c r="X27" s="34">
        <v>0.314</v>
      </c>
      <c r="Y27" s="34">
        <v>0.67200000000000004</v>
      </c>
      <c r="Z27" s="34">
        <v>0.14799999999999999</v>
      </c>
      <c r="AA27" s="34">
        <v>4.2000000000000003E-2</v>
      </c>
      <c r="AB27" s="37"/>
    </row>
    <row r="28" spans="2:28" ht="15" thickBot="1" x14ac:dyDescent="0.45">
      <c r="O28" s="73" cm="1">
        <f t="array" ref="O28">PQ2nits((2055+65*Q28)/(2055+31*65))</f>
        <v>1252.8373417551975</v>
      </c>
      <c r="P28" s="74">
        <f t="shared" si="0"/>
        <v>1252</v>
      </c>
      <c r="Q28" s="37">
        <v>17</v>
      </c>
      <c r="R28" s="37" cm="1">
        <f t="array" ref="R28">ROUND(PQ2nits((20*$Q28)/(2055+31*65)),3)</f>
        <v>0.20399999999999999</v>
      </c>
      <c r="S28" s="37">
        <v>17</v>
      </c>
      <c r="U28" s="37" t="s">
        <v>55</v>
      </c>
      <c r="V28" s="34">
        <v>0.66700000000000004</v>
      </c>
      <c r="W28" s="34">
        <v>0.33100000000000002</v>
      </c>
      <c r="X28" s="34">
        <v>0.26500000000000001</v>
      </c>
      <c r="Y28" s="34">
        <v>0.69</v>
      </c>
      <c r="Z28" s="34">
        <v>0.14799999999999999</v>
      </c>
      <c r="AA28" s="34">
        <v>0.06</v>
      </c>
      <c r="AB28" s="37"/>
    </row>
    <row r="29" spans="2:28" ht="15" thickBot="1" x14ac:dyDescent="0.45">
      <c r="O29" s="73" cm="1">
        <f t="array" ref="O29">PQ2nits((2055+65*Q29)/(2055+31*65))</f>
        <v>1450.3085913304442</v>
      </c>
      <c r="P29" s="74">
        <f t="shared" si="0"/>
        <v>1450</v>
      </c>
      <c r="Q29" s="37">
        <v>18</v>
      </c>
      <c r="R29" s="37" cm="1">
        <f t="array" ref="R29">ROUND(PQ2nits((20*$Q29)/(2055+31*65)),3)</f>
        <v>0.23599999999999999</v>
      </c>
      <c r="S29" s="37">
        <v>18</v>
      </c>
      <c r="U29" s="37" t="s">
        <v>61</v>
      </c>
      <c r="V29" s="89">
        <v>0.74990000000000001</v>
      </c>
      <c r="W29" s="89">
        <v>0.24610000000000001</v>
      </c>
      <c r="X29" s="89">
        <v>3.8999999999999998E-3</v>
      </c>
      <c r="Y29" s="89">
        <v>0.99609999999999999</v>
      </c>
      <c r="Z29" s="89">
        <v>0.12889999999999999</v>
      </c>
      <c r="AA29" s="89">
        <v>3.5099999999999999E-2</v>
      </c>
    </row>
    <row r="30" spans="2:28" x14ac:dyDescent="0.4">
      <c r="O30" s="73" cm="1">
        <f t="array" ref="O30">PQ2nits((2055+65*Q30)/(2055+31*65))</f>
        <v>1678.9673833059749</v>
      </c>
      <c r="P30" s="74">
        <f t="shared" si="0"/>
        <v>1678</v>
      </c>
      <c r="Q30" s="37">
        <v>19</v>
      </c>
      <c r="R30" s="37" cm="1">
        <f t="array" ref="R30">ROUND(PQ2nits((20*$Q30)/(2055+31*65)),3)</f>
        <v>0.27100000000000002</v>
      </c>
      <c r="S30" s="37">
        <v>19</v>
      </c>
      <c r="V30" s="87"/>
      <c r="AB30" s="76"/>
    </row>
    <row r="31" spans="2:28" x14ac:dyDescent="0.4">
      <c r="O31" s="73" cm="1">
        <f t="array" ref="O31">PQ2nits((2055+65*Q31)/(2055+31*65))</f>
        <v>1943.8833082164776</v>
      </c>
      <c r="P31" s="74">
        <f t="shared" si="0"/>
        <v>1943</v>
      </c>
      <c r="Q31" s="37">
        <v>20</v>
      </c>
      <c r="R31" s="37" cm="1">
        <f t="array" ref="R31">ROUND(PQ2nits((20*$Q31)/(2055+31*65)),3)</f>
        <v>0.31</v>
      </c>
      <c r="S31" s="37">
        <v>20</v>
      </c>
      <c r="U31" s="37" t="s">
        <v>81</v>
      </c>
      <c r="V31" s="34">
        <v>0.62890000000000001</v>
      </c>
      <c r="W31" s="34">
        <v>0.24610000000000001</v>
      </c>
      <c r="X31" s="34">
        <v>3.8999999999999998E-3</v>
      </c>
      <c r="Y31" s="34">
        <v>0.49609999999999999</v>
      </c>
      <c r="Z31" s="34">
        <v>0.12889999999999999</v>
      </c>
      <c r="AA31" s="34">
        <v>3.5099999999999999E-2</v>
      </c>
      <c r="AB31" s="76"/>
    </row>
    <row r="32" spans="2:28" x14ac:dyDescent="0.4">
      <c r="O32" s="73" cm="1">
        <f t="array" ref="O32">PQ2nits((2055+65*Q32)/(2055+31*65))</f>
        <v>2250.9912958813088</v>
      </c>
      <c r="P32" s="74">
        <f t="shared" si="0"/>
        <v>2250</v>
      </c>
      <c r="Q32" s="37">
        <v>21</v>
      </c>
      <c r="R32" s="37" cm="1">
        <f t="array" ref="R32">ROUND(PQ2nits((20*$Q32)/(2055+31*65)),3)</f>
        <v>0.35299999999999998</v>
      </c>
      <c r="S32" s="37">
        <v>21</v>
      </c>
      <c r="U32" s="37" t="s">
        <v>82</v>
      </c>
      <c r="V32" s="34">
        <v>0.74990000000000001</v>
      </c>
      <c r="W32" s="34">
        <v>0.37109999999999999</v>
      </c>
      <c r="X32" s="34">
        <v>0.49990000000000001</v>
      </c>
      <c r="Y32" s="34">
        <v>0.99609999999999999</v>
      </c>
      <c r="Z32" s="34">
        <v>0.15240000000000001</v>
      </c>
      <c r="AA32" s="34">
        <v>6.2399999999999997E-2</v>
      </c>
      <c r="AB32" s="76"/>
    </row>
    <row r="33" spans="2:38" x14ac:dyDescent="0.4">
      <c r="O33" s="73" cm="1">
        <f t="array" ref="O33">PQ2nits((2055+65*Q33)/(2055+31*65))</f>
        <v>2607.2486693335695</v>
      </c>
      <c r="P33" s="74">
        <f t="shared" si="0"/>
        <v>2607</v>
      </c>
      <c r="Q33" s="37">
        <v>22</v>
      </c>
      <c r="R33" s="37" cm="1">
        <f t="array" ref="R33">ROUND(PQ2nits((20*$Q33)/(2055+31*65)),3)</f>
        <v>0.39900000000000002</v>
      </c>
      <c r="S33" s="37">
        <v>22</v>
      </c>
    </row>
    <row r="34" spans="2:38" x14ac:dyDescent="0.4">
      <c r="O34" s="73" cm="1">
        <f t="array" ref="O34">PQ2nits((2055+65*Q34)/(2055+31*65))</f>
        <v>3020.8227108925894</v>
      </c>
      <c r="P34" s="74">
        <f t="shared" si="0"/>
        <v>3020</v>
      </c>
      <c r="Q34" s="37">
        <v>23</v>
      </c>
      <c r="R34" s="37" cm="1">
        <f t="array" ref="R34">ROUND(PQ2nits((20*$Q34)/(2055+31*65)),3)</f>
        <v>0.45</v>
      </c>
      <c r="S34" s="37">
        <v>23</v>
      </c>
      <c r="U34" s="31" t="s">
        <v>6</v>
      </c>
      <c r="V34" s="31" t="s">
        <v>24</v>
      </c>
    </row>
    <row r="35" spans="2:38" x14ac:dyDescent="0.4">
      <c r="O35" s="73" cm="1">
        <f t="array" ref="O35">PQ2nits((2055+65*Q35)/(2055+31*65))</f>
        <v>3501.3151049329572</v>
      </c>
      <c r="P35" s="74">
        <f t="shared" si="0"/>
        <v>3501</v>
      </c>
      <c r="Q35" s="37">
        <v>24</v>
      </c>
      <c r="R35" s="37" cm="1">
        <f t="array" ref="R35">ROUND(PQ2nits((20*$Q35)/(2055+31*65)),3)</f>
        <v>0.50600000000000001</v>
      </c>
      <c r="S35" s="37">
        <v>24</v>
      </c>
      <c r="U35" s="37" t="s">
        <v>13</v>
      </c>
      <c r="V35" s="33" t="s">
        <v>89</v>
      </c>
      <c r="X35" s="95"/>
      <c r="AB35" s="76"/>
    </row>
    <row r="36" spans="2:38" x14ac:dyDescent="0.4">
      <c r="O36" s="73" cm="1">
        <f t="array" ref="O36">PQ2nits((2055+65*Q36)/(2055+31*65))</f>
        <v>4060.0310484963115</v>
      </c>
      <c r="P36" s="74">
        <f t="shared" si="0"/>
        <v>4060</v>
      </c>
      <c r="Q36" s="37">
        <v>25</v>
      </c>
      <c r="R36" s="37" cm="1">
        <f t="array" ref="R36">ROUND(PQ2nits((20*$Q36)/(2055+31*65)),3)</f>
        <v>0.56599999999999995</v>
      </c>
      <c r="S36" s="37">
        <v>25</v>
      </c>
      <c r="U36" s="37" t="s">
        <v>88</v>
      </c>
      <c r="V36" s="33" t="s">
        <v>9</v>
      </c>
      <c r="X36" s="95"/>
      <c r="AB36" s="76"/>
    </row>
    <row r="37" spans="2:38" x14ac:dyDescent="0.4">
      <c r="O37" s="73" cm="1">
        <f t="array" ref="O37">PQ2nits((2055+65*Q37)/(2055+31*65))</f>
        <v>4710.3025909539483</v>
      </c>
      <c r="P37" s="74">
        <f t="shared" si="0"/>
        <v>4710</v>
      </c>
      <c r="Q37" s="37">
        <v>26</v>
      </c>
      <c r="R37" s="37" cm="1">
        <f t="array" ref="R37">ROUND(PQ2nits((20*$Q37)/(2055+31*65)),3)</f>
        <v>0.63100000000000001</v>
      </c>
      <c r="S37" s="37">
        <v>26</v>
      </c>
      <c r="X37" s="95"/>
      <c r="AB37" s="76"/>
    </row>
    <row r="38" spans="2:38" x14ac:dyDescent="0.4">
      <c r="O38" s="73" cm="1">
        <f t="array" ref="O38">PQ2nits((2055+65*Q38)/(2055+31*65))</f>
        <v>5467.8779662038578</v>
      </c>
      <c r="P38" s="74">
        <f t="shared" si="0"/>
        <v>5467</v>
      </c>
      <c r="Q38" s="37">
        <v>27</v>
      </c>
      <c r="R38" s="37" cm="1">
        <f t="array" ref="R38">ROUND(PQ2nits((20*$Q38)/(2055+31*65)),3)</f>
        <v>0.70199999999999996</v>
      </c>
      <c r="S38" s="37">
        <v>27</v>
      </c>
      <c r="X38" s="95"/>
      <c r="AB38" s="76"/>
      <c r="AI38" s="47"/>
      <c r="AJ38" s="47"/>
      <c r="AK38" s="47"/>
      <c r="AL38" s="47"/>
    </row>
    <row r="39" spans="2:38" x14ac:dyDescent="0.4">
      <c r="O39" s="73" cm="1">
        <f t="array" ref="O39">PQ2nits((2055+65*Q39)/(2055+31*65))</f>
        <v>6351.3914286654081</v>
      </c>
      <c r="P39" s="74">
        <f t="shared" si="0"/>
        <v>6351</v>
      </c>
      <c r="Q39" s="37">
        <v>28</v>
      </c>
      <c r="R39" s="37" cm="1">
        <f t="array" ref="R39">ROUND(PQ2nits((20*$Q39)/(2055+31*65)),3)</f>
        <v>0.77900000000000003</v>
      </c>
      <c r="S39" s="37">
        <v>28</v>
      </c>
      <c r="X39" s="95"/>
      <c r="AB39" s="76"/>
      <c r="AI39" s="47"/>
      <c r="AJ39" s="47"/>
      <c r="AK39" s="47"/>
      <c r="AL39" s="47"/>
    </row>
    <row r="40" spans="2:38" x14ac:dyDescent="0.4">
      <c r="O40" s="73" cm="1">
        <f t="array" ref="O40">PQ2nits((2055+65*Q40)/(2055+31*65))</f>
        <v>7382.9315427440533</v>
      </c>
      <c r="P40" s="74">
        <f t="shared" si="0"/>
        <v>7382</v>
      </c>
      <c r="Q40" s="37">
        <v>29</v>
      </c>
      <c r="R40" s="37" cm="1">
        <f t="array" ref="R40">ROUND(PQ2nits((20*$Q40)/(2055+31*65)),3)</f>
        <v>0.86199999999999999</v>
      </c>
      <c r="S40" s="37">
        <v>29</v>
      </c>
      <c r="X40" s="95"/>
      <c r="AB40" s="76"/>
      <c r="AI40" s="47"/>
      <c r="AJ40" s="47"/>
      <c r="AK40" s="47"/>
      <c r="AL40" s="47"/>
    </row>
    <row r="41" spans="2:38" x14ac:dyDescent="0.4">
      <c r="O41" s="73" cm="1">
        <f t="array" ref="O41">PQ2nits((2055+65*Q41)/(2055+31*65))</f>
        <v>8588.7301910478836</v>
      </c>
      <c r="P41" s="74">
        <f t="shared" si="0"/>
        <v>8588</v>
      </c>
      <c r="Q41" s="37">
        <v>30</v>
      </c>
      <c r="R41" s="37" cm="1">
        <f t="array" ref="R41">ROUND(PQ2nits((20*$Q41)/(2055+31*65)),3)</f>
        <v>0.95099999999999996</v>
      </c>
      <c r="S41" s="37">
        <v>30</v>
      </c>
      <c r="X41" s="95"/>
      <c r="AB41" s="76"/>
      <c r="AI41" s="47"/>
      <c r="AJ41" s="47"/>
      <c r="AK41" s="47"/>
      <c r="AL41" s="47"/>
    </row>
    <row r="42" spans="2:38" ht="16.3" customHeight="1" x14ac:dyDescent="0.55000000000000004">
      <c r="C42" s="48"/>
      <c r="D42" s="48"/>
      <c r="E42" s="48"/>
      <c r="F42" s="48"/>
      <c r="G42" s="48"/>
      <c r="H42" s="48"/>
      <c r="I42" s="48"/>
      <c r="J42" s="48"/>
      <c r="K42" s="48"/>
      <c r="L42" s="48"/>
      <c r="O42" s="79" cm="1">
        <f t="array" ref="O42">PQ2nits((2055+65*Q42)/(2055+31*65))</f>
        <v>10000</v>
      </c>
      <c r="P42" s="80">
        <f t="shared" si="0"/>
        <v>10000</v>
      </c>
      <c r="Q42" s="81">
        <v>31</v>
      </c>
      <c r="R42" s="81" cm="1">
        <f t="array" ref="R42">ROUND(PQ2nits((20*$Q42)/(2055+31*65)),3)</f>
        <v>1.048</v>
      </c>
      <c r="S42" s="81">
        <v>31</v>
      </c>
      <c r="T42" s="82"/>
      <c r="U42" s="82"/>
      <c r="V42" s="82"/>
      <c r="W42" s="82"/>
      <c r="X42" s="96"/>
      <c r="Y42" s="82"/>
      <c r="Z42" s="82"/>
      <c r="AA42" s="82"/>
      <c r="AB42" s="83"/>
      <c r="AC42" s="47"/>
      <c r="AD42" s="47"/>
      <c r="AE42" s="47"/>
      <c r="AF42" s="47"/>
      <c r="AG42" s="47"/>
      <c r="AH42" s="47"/>
      <c r="AI42" s="47"/>
      <c r="AJ42" s="47"/>
      <c r="AK42" s="47"/>
      <c r="AL42" s="47"/>
    </row>
    <row r="43" spans="2:38" x14ac:dyDescent="0.4">
      <c r="AC43" s="47"/>
      <c r="AD43" s="47"/>
      <c r="AE43" s="47"/>
      <c r="AF43" s="47"/>
      <c r="AG43" s="47"/>
      <c r="AH43" s="47"/>
      <c r="AI43" s="47"/>
      <c r="AJ43" s="47"/>
      <c r="AK43" s="47"/>
      <c r="AL43" s="47"/>
    </row>
    <row r="44" spans="2:38" ht="20.6" x14ac:dyDescent="0.55000000000000004">
      <c r="B44" s="48" t="s">
        <v>59</v>
      </c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</row>
    <row r="45" spans="2:38" x14ac:dyDescent="0.4"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</row>
  </sheetData>
  <sheetProtection sheet="1" objects="1" scenarios="1" formatCells="0" formatColumns="0" formatRows="0"/>
  <mergeCells count="9">
    <mergeCell ref="B9:E9"/>
    <mergeCell ref="F9:H9"/>
    <mergeCell ref="R4:S4"/>
    <mergeCell ref="B4:E4"/>
    <mergeCell ref="F4:H4"/>
    <mergeCell ref="I4:K4"/>
    <mergeCell ref="L4:M4"/>
    <mergeCell ref="N4:O4"/>
    <mergeCell ref="P4:Q4"/>
  </mergeCells>
  <conditionalFormatting sqref="O6">
    <cfRule type="expression" dxfId="11" priority="5">
      <formula>$M$6="Supported"</formula>
    </cfRule>
  </conditionalFormatting>
  <conditionalFormatting sqref="O6">
    <cfRule type="expression" dxfId="10" priority="4" stopIfTrue="1">
      <formula>IF(AND($M$6="Supported",$O$6="Supported"),TRUE,FALSE)</formula>
    </cfRule>
  </conditionalFormatting>
  <conditionalFormatting sqref="H6">
    <cfRule type="expression" dxfId="9" priority="3">
      <formula>$D$6="Not Supported"</formula>
    </cfRule>
  </conditionalFormatting>
  <conditionalFormatting sqref="M6">
    <cfRule type="expression" dxfId="8" priority="2">
      <formula>$O$6="Supported"</formula>
    </cfRule>
  </conditionalFormatting>
  <conditionalFormatting sqref="M6">
    <cfRule type="expression" dxfId="7" priority="1" stopIfTrue="1">
      <formula>IF(AND($M$6="Supported",$O$6="Supported"),TRUE,FALSE)</formula>
    </cfRule>
  </conditionalFormatting>
  <dataValidations count="15">
    <dataValidation type="list" allowBlank="1" showInputMessage="1" showErrorMessage="1" sqref="O6 D6:E6 G6 M6" xr:uid="{E7FCCC43-4637-445F-AE34-EFD928004371}">
      <formula1>"Supported, Not Supported"</formula1>
    </dataValidation>
    <dataValidation type="list" allowBlank="1" showInputMessage="1" showErrorMessage="1" sqref="J2" xr:uid="{4BFAF659-B4B3-4FB7-855C-0097A7722E65}">
      <formula1>#REF!</formula1>
    </dataValidation>
    <dataValidation type="list" allowBlank="1" showInputMessage="1" showErrorMessage="1" sqref="H6" xr:uid="{C5F91FCF-655D-4EAD-9242-58470CE995A1}">
      <formula1>$U$11:$U$15</formula1>
    </dataValidation>
    <dataValidation type="list" allowBlank="1" showInputMessage="1" showErrorMessage="1" sqref="I6" xr:uid="{800C8849-A9C1-41BD-90F3-29A0D498CC6A}">
      <formula1>$P$11:$P$42</formula1>
    </dataValidation>
    <dataValidation type="list" allowBlank="1" showInputMessage="1" showErrorMessage="1" sqref="F6" xr:uid="{1A3D0F0E-939E-41E6-8E1E-E4C4C4336F4F}">
      <formula1>$R$11:$R$42</formula1>
    </dataValidation>
    <dataValidation type="decimal" showInputMessage="1" showErrorMessage="1" sqref="Z32" xr:uid="{F08C7000-67E7-4662-A387-8FADACDD2EB8}">
      <formula1>0</formula1>
      <formula2>1</formula2>
    </dataValidation>
    <dataValidation type="decimal" showInputMessage="1" showErrorMessage="1" sqref="AA24:AA29" xr:uid="{35F25607-2E8C-4E2F-98F0-D2850DA45926}">
      <formula1>0.0351</formula1>
      <formula2>0.0624</formula2>
    </dataValidation>
    <dataValidation type="decimal" showInputMessage="1" showErrorMessage="1" sqref="Z24:Z29" xr:uid="{CFA37529-ABED-40A2-BD0B-056D0EB39B52}">
      <formula1>0.1289</formula1>
      <formula2>0.1524</formula2>
    </dataValidation>
    <dataValidation type="decimal" showInputMessage="1" showErrorMessage="1" sqref="Y24:Y29" xr:uid="{D2170E74-F1FC-4266-B96C-D1BD39791041}">
      <formula1>0.4961</formula1>
      <formula2>0.9961</formula2>
    </dataValidation>
    <dataValidation type="decimal" showInputMessage="1" showErrorMessage="1" sqref="X24:X29" xr:uid="{D4C9C8ED-4CE9-40EA-9FFA-52CCDA210EE8}">
      <formula1>0.0039</formula1>
      <formula2>0.4999</formula2>
    </dataValidation>
    <dataValidation type="decimal" showInputMessage="1" showErrorMessage="1" sqref="W24:W29" xr:uid="{CF22772C-0482-404F-B869-C925B2D6C879}">
      <formula1>0.2461</formula1>
      <formula2>0.3711</formula2>
    </dataValidation>
    <dataValidation type="decimal" showInputMessage="1" showErrorMessage="1" sqref="V24:V29" xr:uid="{B4614E00-AE6B-4F16-9294-FF77BD88A2A9}">
      <formula1>0.6289</formula1>
      <formula2>0.7499</formula2>
    </dataValidation>
    <dataValidation type="list" allowBlank="1" showInputMessage="1" showErrorMessage="1" sqref="K6" xr:uid="{AF09E517-40B1-4323-AEC7-77A76C1E2C5A}">
      <formula1>$U$18:$U$21</formula1>
    </dataValidation>
    <dataValidation type="list" allowBlank="1" showInputMessage="1" showErrorMessage="1" sqref="M2" xr:uid="{C65662E9-EAB3-4929-8013-4A6C8F65C3D7}">
      <formula1>$U$24:$U$29</formula1>
    </dataValidation>
    <dataValidation type="list" allowBlank="1" showInputMessage="1" showErrorMessage="1" sqref="C6" xr:uid="{2A2462F6-67D0-4BDF-AF8B-E5852B427D35}">
      <formula1>$U$35:$U$36</formula1>
    </dataValidation>
  </dataValidations>
  <hyperlinks>
    <hyperlink ref="AB26" r:id="rId1" xr:uid="{0B5D8F3C-63D4-467C-8EA4-D650297E26B8}"/>
    <hyperlink ref="AB25" r:id="rId2" xr:uid="{811452F9-59BF-4D11-A12D-50BEB8F9007C}"/>
    <hyperlink ref="AB24" r:id="rId3" xr:uid="{6643DDB9-938A-4ED6-ABD3-DFC43B18A928}"/>
  </hyperlinks>
  <pageMargins left="0.7" right="0.7" top="0.75" bottom="0.75" header="0.3" footer="0.3"/>
  <pageSetup orientation="portrait" horizontalDpi="0" verticalDpi="0" r:id="rId4"/>
  <ignoredErrors>
    <ignoredError sqref="F7" formula="1"/>
    <ignoredError sqref="B7" numberStoredAsText="1"/>
  </ignoredErrors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1093-C33B-CD45-BB67-9D2488620EE7}">
  <dimension ref="B1:AL46"/>
  <sheetViews>
    <sheetView workbookViewId="0"/>
  </sheetViews>
  <sheetFormatPr defaultColWidth="8.84375" defaultRowHeight="14.6" x14ac:dyDescent="0.4"/>
  <cols>
    <col min="1" max="1" width="3.84375" customWidth="1"/>
    <col min="2" max="2" width="7.15234375" customWidth="1"/>
    <col min="3" max="3" width="10.53515625" bestFit="1" customWidth="1"/>
    <col min="4" max="4" width="13.15234375" bestFit="1" customWidth="1"/>
    <col min="5" max="5" width="9.69140625" bestFit="1" customWidth="1"/>
    <col min="6" max="6" width="5.84375" customWidth="1"/>
    <col min="7" max="7" width="13.15234375" bestFit="1" customWidth="1"/>
    <col min="8" max="8" width="8.15234375" bestFit="1" customWidth="1"/>
    <col min="9" max="9" width="6.07421875" customWidth="1"/>
    <col min="10" max="10" width="8.4609375" bestFit="1" customWidth="1"/>
    <col min="11" max="11" width="8.61328125" bestFit="1" customWidth="1"/>
    <col min="12" max="12" width="11.07421875" bestFit="1" customWidth="1"/>
    <col min="13" max="13" width="13.15234375" bestFit="1" customWidth="1"/>
    <col min="14" max="14" width="7.84375" bestFit="1" customWidth="1"/>
    <col min="15" max="15" width="13.15234375" bestFit="1" customWidth="1"/>
    <col min="16" max="16" width="12.765625" bestFit="1" customWidth="1"/>
    <col min="17" max="17" width="10" bestFit="1" customWidth="1"/>
    <col min="18" max="18" width="8.4609375" bestFit="1" customWidth="1"/>
    <col min="19" max="19" width="9.61328125" bestFit="1" customWidth="1"/>
    <col min="20" max="20" width="2.4609375" customWidth="1"/>
    <col min="21" max="21" width="21.53515625" customWidth="1"/>
    <col min="22" max="27" width="6.3828125" bestFit="1" customWidth="1"/>
    <col min="28" max="28" width="34.69140625" bestFit="1" customWidth="1"/>
    <col min="29" max="33" width="6.69140625" bestFit="1" customWidth="1"/>
    <col min="34" max="34" width="32.84375" bestFit="1" customWidth="1"/>
    <col min="37" max="37" width="32.84375" bestFit="1" customWidth="1"/>
  </cols>
  <sheetData>
    <row r="1" spans="2:28" ht="31.75" customHeight="1" thickBot="1" x14ac:dyDescent="0.95">
      <c r="B1" s="8" t="s">
        <v>75</v>
      </c>
      <c r="U1" t="s">
        <v>77</v>
      </c>
    </row>
    <row r="2" spans="2:28" ht="15" thickBot="1" x14ac:dyDescent="0.45">
      <c r="L2" s="9" t="s">
        <v>23</v>
      </c>
      <c r="M2" s="5" t="s">
        <v>33</v>
      </c>
      <c r="U2" s="11"/>
      <c r="V2" t="s">
        <v>80</v>
      </c>
    </row>
    <row r="3" spans="2:28" ht="15" thickBot="1" x14ac:dyDescent="0.45">
      <c r="U3" s="12"/>
      <c r="V3" t="s">
        <v>78</v>
      </c>
    </row>
    <row r="4" spans="2:28" ht="15" thickBot="1" x14ac:dyDescent="0.45">
      <c r="B4" s="105" t="str">
        <f>DEC2HEX(_xlfn.BITLSHIFT(BIN2DEC(B7),5)+_xlfn.BITLSHIFT(BIN2DEC(C7),2)+_xlfn.BITLSHIFT(BIN2DEC(D7),1)+BIN2DEC(E7))</f>
        <v>49</v>
      </c>
      <c r="C4" s="106"/>
      <c r="D4" s="106"/>
      <c r="E4" s="107"/>
      <c r="F4" s="108" t="str">
        <f>DEC2HEX(_xlfn.BITLSHIFT(BIN2DEC(F7),3)+_xlfn.BITLSHIFT(BIN2DEC(G7),2)+BIN2DEC(H7),2)</f>
        <v>0B</v>
      </c>
      <c r="G4" s="103"/>
      <c r="H4" s="104"/>
      <c r="I4" s="108" t="str">
        <f>DEC2HEX(_xlfn.BITLSHIFT(BIN2DEC(I7),3)+_xlfn.BITLSHIFT(BIN2DEC(J7),1)+BIN2DEC(K7),2)</f>
        <v>C8</v>
      </c>
      <c r="J4" s="103"/>
      <c r="K4" s="104"/>
      <c r="L4" s="103" t="str">
        <f>BIN2HEX(_xlfn.CONCAT(L7,M7),2)</f>
        <v>56</v>
      </c>
      <c r="M4" s="104"/>
      <c r="N4" s="103" t="str">
        <f>BIN2HEX(_xlfn.CONCAT(N7,O7),2)</f>
        <v>98</v>
      </c>
      <c r="O4" s="104"/>
      <c r="P4" s="103" t="str">
        <f>BIN2HEX(_xlfn.CONCAT(P7,Q7),2)</f>
        <v>A9</v>
      </c>
      <c r="Q4" s="104"/>
      <c r="R4" s="103" t="str">
        <f>BIN2HEX(_xlfn.CONCAT(R7,S7),2)</f>
        <v>53</v>
      </c>
      <c r="S4" s="104"/>
      <c r="U4" s="15"/>
      <c r="V4" t="s">
        <v>79</v>
      </c>
    </row>
    <row r="5" spans="2:28" ht="43.75" x14ac:dyDescent="0.4">
      <c r="B5" s="49" t="s">
        <v>4</v>
      </c>
      <c r="C5" s="50" t="s">
        <v>6</v>
      </c>
      <c r="D5" s="51" t="s">
        <v>10</v>
      </c>
      <c r="E5" s="52" t="s">
        <v>2</v>
      </c>
      <c r="F5" s="53" t="s">
        <v>50</v>
      </c>
      <c r="G5" s="51" t="s">
        <v>30</v>
      </c>
      <c r="H5" s="54" t="s">
        <v>49</v>
      </c>
      <c r="I5" s="53" t="s">
        <v>51</v>
      </c>
      <c r="J5" s="50" t="s">
        <v>5</v>
      </c>
      <c r="K5" s="52" t="s">
        <v>27</v>
      </c>
      <c r="L5" s="50" t="s">
        <v>48</v>
      </c>
      <c r="M5" s="52" t="s">
        <v>17</v>
      </c>
      <c r="N5" s="50" t="s">
        <v>47</v>
      </c>
      <c r="O5" s="52" t="s">
        <v>16</v>
      </c>
      <c r="P5" s="50" t="s">
        <v>46</v>
      </c>
      <c r="Q5" s="52" t="s">
        <v>8</v>
      </c>
      <c r="R5" s="50" t="s">
        <v>45</v>
      </c>
      <c r="S5" s="52" t="s">
        <v>7</v>
      </c>
    </row>
    <row r="6" spans="2:28" x14ac:dyDescent="0.4">
      <c r="B6" s="55">
        <v>2</v>
      </c>
      <c r="C6" s="2" t="s">
        <v>88</v>
      </c>
      <c r="D6" s="1" t="s">
        <v>12</v>
      </c>
      <c r="E6" s="2" t="s">
        <v>11</v>
      </c>
      <c r="F6" s="88">
        <v>1E-3</v>
      </c>
      <c r="G6" s="1" t="s">
        <v>12</v>
      </c>
      <c r="H6" s="93" t="s">
        <v>19</v>
      </c>
      <c r="I6" s="3">
        <v>4060</v>
      </c>
      <c r="J6" s="56">
        <v>0</v>
      </c>
      <c r="K6" s="2" t="s">
        <v>25</v>
      </c>
      <c r="L6" s="57">
        <f>INDEX($X$22:$X$27,MATCH($M$2,$U$22:$U$27,0))</f>
        <v>0.17</v>
      </c>
      <c r="M6" s="4" t="s">
        <v>12</v>
      </c>
      <c r="N6" s="58">
        <f>INDEX($Y$22:$Y$27,MATCH($M$2,$U$22:$U$27,0))</f>
        <v>0.79700000000000004</v>
      </c>
      <c r="O6" s="4" t="s">
        <v>12</v>
      </c>
      <c r="P6" s="58">
        <f>INDEX($V$22:$V$27,MATCH($M$2,$U$22:$U$27,0))</f>
        <v>0.70799999999999996</v>
      </c>
      <c r="Q6" s="59">
        <f>INDEX($Z$22:$Z$27,MATCH($M$2,$U$22:$U$27,0))</f>
        <v>0.13100000000000001</v>
      </c>
      <c r="R6" s="57">
        <f>INDEX($W$22:$W$27,MATCH($M$2,$U$22:$U$27,0))</f>
        <v>0.29199999999999998</v>
      </c>
      <c r="S6" s="59">
        <f>INDEX($AA$22:$AA$27,MATCH($M$2,$U$22:$U$27,0))</f>
        <v>4.5999999999999999E-2</v>
      </c>
    </row>
    <row r="7" spans="2:28" s="21" customFormat="1" ht="15" thickBot="1" x14ac:dyDescent="0.45">
      <c r="B7" s="60" t="s">
        <v>9</v>
      </c>
      <c r="C7" s="61" t="str">
        <f>VLOOKUP(C6,$U$33:$V$34,2)</f>
        <v>010</v>
      </c>
      <c r="D7" s="62">
        <f>IF(EXACT(D6,"Supported"),1,0)</f>
        <v>0</v>
      </c>
      <c r="E7" s="63">
        <f>IF(EXACT(E6,"Supported"),1,0)</f>
        <v>1</v>
      </c>
      <c r="F7" s="64" t="str">
        <f>DEC2BIN(VLOOKUP(F6,$R$11:$S$42,2),5)</f>
        <v>00001</v>
      </c>
      <c r="G7" s="62">
        <f>IF(EXACT(G6,"Supported"),1,0)</f>
        <v>0</v>
      </c>
      <c r="H7" s="63" t="str">
        <f>IF(EXACT(D6,"Not Supported"),"11",INDEX($V$11:$V$14,MATCH(H6,$U$11:$U$14,0)))</f>
        <v>11</v>
      </c>
      <c r="I7" s="64" t="str">
        <f>DEC2BIN(VLOOKUP(I6,$P$11:$Q$42,2),5)</f>
        <v>11001</v>
      </c>
      <c r="J7" s="62">
        <v>0</v>
      </c>
      <c r="K7" s="63" t="str">
        <f>VLOOKUP(K6,$U$18:$V$19,2)</f>
        <v>00</v>
      </c>
      <c r="L7" s="65" t="str">
        <f>DEC2BIN(L6/( 0.49609375/127),7)</f>
        <v>0101011</v>
      </c>
      <c r="M7" s="66">
        <f>IF(AND(EXACT(M6,"Supported"),EXACT(O6,"Not Supported")),1,0)</f>
        <v>0</v>
      </c>
      <c r="N7" s="65" t="str">
        <f>DEC2BIN((N6-0.5)/((0.99609375-0.5)/127),7)</f>
        <v>1001100</v>
      </c>
      <c r="O7" s="66">
        <f>IF(AND(EXACT(O6,"Supported"),EXACT(M6,"Not Supported")),1,0)</f>
        <v>0</v>
      </c>
      <c r="P7" s="64" t="str">
        <f>DEC2BIN((P6-0.625)/((0.74609375-0.625)/31),5)</f>
        <v>10101</v>
      </c>
      <c r="Q7" s="67" t="str">
        <f>DEC2BIN((Q6-0.125)/((0.15234375-0.125)/7),3)</f>
        <v>001</v>
      </c>
      <c r="R7" s="64" t="str">
        <f>DEC2BIN((R6-0.25)/((0.37109375-0.25)/31),5)</f>
        <v>01010</v>
      </c>
      <c r="S7" s="67" t="str">
        <f>DEC2BIN((S6-0.03125)/((0.05859375-0.03125)/7),3)</f>
        <v>011</v>
      </c>
      <c r="T7"/>
    </row>
    <row r="8" spans="2:28" ht="15" thickBot="1" x14ac:dyDescent="0.45"/>
    <row r="9" spans="2:28" ht="23.6" thickBot="1" x14ac:dyDescent="0.65">
      <c r="B9" s="97" t="s">
        <v>60</v>
      </c>
      <c r="C9" s="98"/>
      <c r="D9" s="98"/>
      <c r="E9" s="99"/>
      <c r="F9" s="100" t="str">
        <f>_xlfn.CONCAT(B4:S4)</f>
        <v>490BC85698A953</v>
      </c>
      <c r="G9" s="101"/>
      <c r="H9" s="102"/>
      <c r="I9" s="30"/>
      <c r="J9" s="30"/>
    </row>
    <row r="10" spans="2:28" x14ac:dyDescent="0.4">
      <c r="B10" s="30"/>
      <c r="C10" s="30"/>
      <c r="D10" s="30"/>
      <c r="E10" s="30"/>
      <c r="F10" s="30"/>
      <c r="G10" s="30"/>
      <c r="H10" s="30"/>
      <c r="I10" s="30"/>
      <c r="J10" s="30"/>
      <c r="O10" s="68" t="s">
        <v>52</v>
      </c>
      <c r="P10" s="69" t="s">
        <v>58</v>
      </c>
      <c r="Q10" s="69" t="s">
        <v>56</v>
      </c>
      <c r="R10" s="69" t="s">
        <v>53</v>
      </c>
      <c r="S10" s="69" t="s">
        <v>57</v>
      </c>
      <c r="T10" s="70"/>
      <c r="U10" s="69" t="s">
        <v>3</v>
      </c>
      <c r="V10" s="69" t="s">
        <v>24</v>
      </c>
      <c r="W10" s="71"/>
      <c r="X10" s="70"/>
      <c r="Y10" s="70"/>
      <c r="Z10" s="70"/>
      <c r="AA10" s="70"/>
      <c r="AB10" s="72"/>
    </row>
    <row r="11" spans="2:28" x14ac:dyDescent="0.4">
      <c r="O11" s="73" cm="1">
        <f t="array" ref="O11">PQ2nits((2055+65*Q11)/(2055+31*65))</f>
        <v>96.892947435897241</v>
      </c>
      <c r="P11" s="74">
        <f t="shared" ref="P11:P42" si="0">INT(O11)</f>
        <v>96</v>
      </c>
      <c r="Q11" s="37">
        <v>0</v>
      </c>
      <c r="R11" s="37" cm="1">
        <f t="array" ref="R11">ROUND(PQ2nits((20*$Q11)/(2055+31*65)),3)</f>
        <v>0</v>
      </c>
      <c r="S11" s="37">
        <v>0</v>
      </c>
      <c r="U11" s="84" t="s">
        <v>15</v>
      </c>
      <c r="V11" s="85" t="s">
        <v>1</v>
      </c>
      <c r="AB11" s="76"/>
    </row>
    <row r="12" spans="2:28" x14ac:dyDescent="0.4">
      <c r="B12" s="30"/>
      <c r="O12" s="73" cm="1">
        <f t="array" ref="O12">PQ2nits((2055+65*Q12)/(2055+31*65))</f>
        <v>113.54849272653058</v>
      </c>
      <c r="P12" s="74">
        <f t="shared" si="0"/>
        <v>113</v>
      </c>
      <c r="Q12" s="37">
        <v>1</v>
      </c>
      <c r="R12" s="37" cm="1">
        <f t="array" ref="R12">ROUND(PQ2nits((20*$Q12)/(2055+31*65)),3)</f>
        <v>1E-3</v>
      </c>
      <c r="S12" s="37">
        <v>1</v>
      </c>
      <c r="U12" s="84" t="s">
        <v>14</v>
      </c>
      <c r="V12" s="85" t="s">
        <v>0</v>
      </c>
      <c r="AB12" s="76"/>
    </row>
    <row r="13" spans="2:28" x14ac:dyDescent="0.4">
      <c r="B13" s="30"/>
      <c r="O13" s="73" cm="1">
        <f t="array" ref="O13">PQ2nits((2055+65*Q13)/(2055+31*65))</f>
        <v>132.85537796729577</v>
      </c>
      <c r="P13" s="74">
        <f t="shared" si="0"/>
        <v>132</v>
      </c>
      <c r="Q13" s="37">
        <v>2</v>
      </c>
      <c r="R13" s="37" cm="1">
        <f t="array" ref="R13">ROUND(PQ2nits((20*$Q13)/(2055+31*65)),3)</f>
        <v>2E-3</v>
      </c>
      <c r="S13" s="37">
        <v>2</v>
      </c>
      <c r="U13" s="84" t="s">
        <v>18</v>
      </c>
      <c r="V13" s="85" t="s">
        <v>20</v>
      </c>
    </row>
    <row r="14" spans="2:28" x14ac:dyDescent="0.4">
      <c r="B14" s="30"/>
      <c r="O14" s="73" cm="1">
        <f t="array" ref="O14">PQ2nits((2055+65*Q14)/(2055+31*65))</f>
        <v>155.21994460137429</v>
      </c>
      <c r="P14" s="74">
        <f t="shared" si="0"/>
        <v>155</v>
      </c>
      <c r="Q14" s="37">
        <v>3</v>
      </c>
      <c r="R14" s="37" cm="1">
        <f t="array" ref="R14">ROUND(PQ2nits((20*$Q14)/(2055+31*65)),3)</f>
        <v>5.0000000000000001E-3</v>
      </c>
      <c r="S14" s="37">
        <v>3</v>
      </c>
      <c r="U14" s="85" t="s">
        <v>19</v>
      </c>
      <c r="V14" s="85" t="s">
        <v>21</v>
      </c>
    </row>
    <row r="15" spans="2:28" x14ac:dyDescent="0.4">
      <c r="B15" s="30"/>
      <c r="O15" s="73" cm="1">
        <f t="array" ref="O15">PQ2nits((2055+65*Q15)/(2055+31*65))</f>
        <v>181.11079810347903</v>
      </c>
      <c r="P15" s="74">
        <f t="shared" si="0"/>
        <v>181</v>
      </c>
      <c r="Q15" s="37">
        <v>4</v>
      </c>
      <c r="R15" s="37" cm="1">
        <f t="array" ref="R15">ROUND(PQ2nits((20*$Q15)/(2055+31*65)),3)</f>
        <v>8.0000000000000002E-3</v>
      </c>
      <c r="S15" s="37">
        <v>4</v>
      </c>
      <c r="U15" s="75" t="s">
        <v>22</v>
      </c>
      <c r="V15" s="37">
        <v>11</v>
      </c>
    </row>
    <row r="16" spans="2:28" x14ac:dyDescent="0.4">
      <c r="B16" s="30"/>
      <c r="O16" s="73" cm="1">
        <f t="array" ref="O16">PQ2nits((2055+65*Q16)/(2055+31*65))</f>
        <v>211.06861673067306</v>
      </c>
      <c r="P16" s="74">
        <f t="shared" ref="P16:P17" si="1">INT(O16)</f>
        <v>211</v>
      </c>
      <c r="Q16" s="37">
        <v>5</v>
      </c>
      <c r="R16" s="37" cm="1">
        <f t="array" ref="R16">ROUND(PQ2nits((20*$Q16)/(2055+31*65)),3)</f>
        <v>1.2999999999999999E-2</v>
      </c>
      <c r="S16" s="37">
        <v>5</v>
      </c>
    </row>
    <row r="17" spans="2:28" x14ac:dyDescent="0.4">
      <c r="B17" s="30"/>
      <c r="O17" s="73" cm="1">
        <f t="array" ref="O17">PQ2nits((2055+65*Q17)/(2055+31*65))</f>
        <v>245.71757619655023</v>
      </c>
      <c r="P17" s="74">
        <f t="shared" si="1"/>
        <v>245</v>
      </c>
      <c r="Q17" s="37">
        <v>6</v>
      </c>
      <c r="R17" s="37" cm="1">
        <f t="array" ref="R17">ROUND(PQ2nits((20*$Q17)/(2055+31*65)),3)</f>
        <v>1.9E-2</v>
      </c>
      <c r="S17" s="37">
        <v>6</v>
      </c>
      <c r="U17" s="31" t="s">
        <v>27</v>
      </c>
      <c r="V17" s="31" t="s">
        <v>24</v>
      </c>
      <c r="AB17" s="76"/>
    </row>
    <row r="18" spans="2:28" x14ac:dyDescent="0.4">
      <c r="B18" s="30"/>
      <c r="O18" s="73" cm="1">
        <f t="array" ref="O18">PQ2nits((2055+65*Q18)/(2055+31*65))</f>
        <v>285.77867132456396</v>
      </c>
      <c r="P18" s="74">
        <f t="shared" si="0"/>
        <v>285</v>
      </c>
      <c r="Q18" s="37">
        <v>7</v>
      </c>
      <c r="R18" s="37" cm="1">
        <f t="array" ref="R18">ROUND(PQ2nits((20*$Q18)/(2055+31*65)),3)</f>
        <v>2.5999999999999999E-2</v>
      </c>
      <c r="S18" s="37">
        <v>7</v>
      </c>
      <c r="U18" s="41" t="s">
        <v>25</v>
      </c>
      <c r="V18" s="77" t="s">
        <v>1</v>
      </c>
      <c r="AB18" s="76"/>
    </row>
    <row r="19" spans="2:28" ht="17.05" customHeight="1" x14ac:dyDescent="0.5">
      <c r="B19" s="30"/>
      <c r="K19" s="36"/>
      <c r="O19" s="73" cm="1">
        <f t="array" ref="O19">PQ2nits((2055+65*Q19)/(2055+31*65))</f>
        <v>332.08526759956629</v>
      </c>
      <c r="P19" s="74">
        <f t="shared" si="0"/>
        <v>332</v>
      </c>
      <c r="Q19" s="37">
        <v>8</v>
      </c>
      <c r="R19" s="37" cm="1">
        <f t="array" ref="R19">ROUND(PQ2nits((20*$Q19)/(2055+31*65)),3)</f>
        <v>3.5000000000000003E-2</v>
      </c>
      <c r="S19" s="37">
        <v>8</v>
      </c>
      <c r="U19" s="41" t="s">
        <v>26</v>
      </c>
      <c r="V19" s="77" t="s">
        <v>0</v>
      </c>
      <c r="AB19" s="76"/>
    </row>
    <row r="20" spans="2:28" x14ac:dyDescent="0.4">
      <c r="B20" s="30"/>
      <c r="O20" s="73" cm="1">
        <f t="array" ref="O20">PQ2nits((2055+65*Q20)/(2055+31*65))</f>
        <v>385.60127757797198</v>
      </c>
      <c r="P20" s="74">
        <f t="shared" si="0"/>
        <v>385</v>
      </c>
      <c r="Q20" s="37">
        <v>9</v>
      </c>
      <c r="R20" s="37" cm="1">
        <f t="array" ref="R20">ROUND(PQ2nits((20*$Q20)/(2055+31*65)),3)</f>
        <v>4.5999999999999999E-2</v>
      </c>
      <c r="S20" s="37">
        <v>9</v>
      </c>
    </row>
    <row r="21" spans="2:28" x14ac:dyDescent="0.4">
      <c r="B21" s="30"/>
      <c r="O21" s="73" cm="1">
        <f t="array" ref="O21">PQ2nits((2055+65*Q21)/(2055+31*65))</f>
        <v>447.44243145789636</v>
      </c>
      <c r="P21" s="74">
        <f t="shared" si="0"/>
        <v>447</v>
      </c>
      <c r="Q21" s="37">
        <v>10</v>
      </c>
      <c r="R21" s="37" cm="1">
        <f t="array" ref="R21">ROUND(PQ2nits((20*$Q21)/(2055+31*65)),3)</f>
        <v>5.8000000000000003E-2</v>
      </c>
      <c r="S21" s="37">
        <v>10</v>
      </c>
      <c r="U21" s="31" t="s">
        <v>31</v>
      </c>
      <c r="V21" s="31" t="s">
        <v>35</v>
      </c>
      <c r="W21" s="31" t="s">
        <v>36</v>
      </c>
      <c r="X21" s="31" t="s">
        <v>37</v>
      </c>
      <c r="Y21" s="31" t="s">
        <v>38</v>
      </c>
      <c r="Z21" s="31" t="s">
        <v>39</v>
      </c>
      <c r="AA21" s="31" t="s">
        <v>40</v>
      </c>
      <c r="AB21" s="32" t="s">
        <v>44</v>
      </c>
    </row>
    <row r="22" spans="2:28" x14ac:dyDescent="0.4">
      <c r="O22" s="73" cm="1">
        <f t="array" ref="O22">PQ2nits((2055+65*Q22)/(2055+31*65))</f>
        <v>518.90120035135783</v>
      </c>
      <c r="P22" s="74">
        <f t="shared" si="0"/>
        <v>518</v>
      </c>
      <c r="Q22" s="37">
        <v>11</v>
      </c>
      <c r="R22" s="37" cm="1">
        <f t="array" ref="R22">ROUND(PQ2nits((20*$Q22)/(2055+31*65)),3)</f>
        <v>7.1999999999999995E-2</v>
      </c>
      <c r="S22" s="37">
        <v>11</v>
      </c>
      <c r="U22" s="33" t="s">
        <v>32</v>
      </c>
      <c r="V22" s="34">
        <v>0.64</v>
      </c>
      <c r="W22" s="34">
        <v>0.33</v>
      </c>
      <c r="X22" s="34">
        <v>0.3</v>
      </c>
      <c r="Y22" s="34">
        <v>0.6</v>
      </c>
      <c r="Z22" s="34">
        <v>0.15</v>
      </c>
      <c r="AA22" s="34">
        <v>0.06</v>
      </c>
      <c r="AB22" s="35" t="s">
        <v>43</v>
      </c>
    </row>
    <row r="23" spans="2:28" x14ac:dyDescent="0.4">
      <c r="O23" s="73" cm="1">
        <f t="array" ref="O23">PQ2nits((2055+65*Q23)/(2055+31*65))</f>
        <v>601.47603811806903</v>
      </c>
      <c r="P23" s="74">
        <f t="shared" si="0"/>
        <v>601</v>
      </c>
      <c r="Q23" s="37">
        <v>12</v>
      </c>
      <c r="R23" s="37" cm="1">
        <f t="array" ref="R23">ROUND(PQ2nits((20*$Q23)/(2055+31*65)),3)</f>
        <v>8.7999999999999995E-2</v>
      </c>
      <c r="S23" s="37">
        <v>12</v>
      </c>
      <c r="U23" s="33" t="s">
        <v>33</v>
      </c>
      <c r="V23" s="34">
        <v>0.70799999999999996</v>
      </c>
      <c r="W23" s="34">
        <v>0.29199999999999998</v>
      </c>
      <c r="X23" s="34">
        <v>0.17</v>
      </c>
      <c r="Y23" s="34">
        <v>0.79700000000000004</v>
      </c>
      <c r="Z23" s="34">
        <v>0.13100000000000001</v>
      </c>
      <c r="AA23" s="34">
        <v>4.5999999999999999E-2</v>
      </c>
      <c r="AB23" s="35" t="s">
        <v>41</v>
      </c>
    </row>
    <row r="24" spans="2:28" x14ac:dyDescent="0.4">
      <c r="O24" s="73" cm="1">
        <f t="array" ref="O24">PQ2nits((2055+65*Q24)/(2055+31*65))</f>
        <v>696.90573691813393</v>
      </c>
      <c r="P24" s="74">
        <f t="shared" si="0"/>
        <v>696</v>
      </c>
      <c r="Q24" s="37">
        <v>13</v>
      </c>
      <c r="R24" s="37" cm="1">
        <f t="array" ref="R24">ROUND(PQ2nits((20*$Q24)/(2055+31*65)),3)</f>
        <v>0.106</v>
      </c>
      <c r="S24" s="37">
        <v>13</v>
      </c>
      <c r="U24" s="33" t="s">
        <v>34</v>
      </c>
      <c r="V24" s="34">
        <v>0.68</v>
      </c>
      <c r="W24" s="34">
        <v>0.32</v>
      </c>
      <c r="X24" s="34">
        <v>0.26500000000000001</v>
      </c>
      <c r="Y24" s="34">
        <v>0.69</v>
      </c>
      <c r="Z24" s="34">
        <v>0.15</v>
      </c>
      <c r="AA24" s="34">
        <v>0.06</v>
      </c>
      <c r="AB24" s="35" t="s">
        <v>42</v>
      </c>
    </row>
    <row r="25" spans="2:28" x14ac:dyDescent="0.4">
      <c r="O25" s="73" cm="1">
        <f t="array" ref="O25">PQ2nits((2055+65*Q25)/(2055+31*65))</f>
        <v>807.20984771936151</v>
      </c>
      <c r="P25" s="74">
        <f t="shared" si="0"/>
        <v>807</v>
      </c>
      <c r="Q25" s="37">
        <v>14</v>
      </c>
      <c r="R25" s="37" cm="1">
        <f t="array" ref="R25">ROUND(PQ2nits((20*$Q25)/(2055+31*65)),3)</f>
        <v>0.127</v>
      </c>
      <c r="S25" s="37">
        <v>14</v>
      </c>
      <c r="U25" s="37" t="s">
        <v>54</v>
      </c>
      <c r="V25" s="34">
        <v>0.66700000000000004</v>
      </c>
      <c r="W25" s="34">
        <v>0.33100000000000002</v>
      </c>
      <c r="X25" s="34">
        <v>0.314</v>
      </c>
      <c r="Y25" s="34">
        <v>0.67200000000000004</v>
      </c>
      <c r="Z25" s="34">
        <v>0.14799999999999999</v>
      </c>
      <c r="AA25" s="34">
        <v>4.2000000000000003E-2</v>
      </c>
      <c r="AB25" s="37"/>
    </row>
    <row r="26" spans="2:28" ht="15" thickBot="1" x14ac:dyDescent="0.45">
      <c r="O26" s="73" cm="1">
        <f t="array" ref="O26">PQ2nits((2055+65*Q26)/(2055+31*65))</f>
        <v>934.73630576927678</v>
      </c>
      <c r="P26" s="74">
        <f t="shared" si="0"/>
        <v>934</v>
      </c>
      <c r="Q26" s="37">
        <v>15</v>
      </c>
      <c r="R26" s="37" cm="1">
        <f t="array" ref="R26">ROUND(PQ2nits((20*$Q26)/(2055+31*65)),3)</f>
        <v>0.15</v>
      </c>
      <c r="S26" s="37">
        <v>15</v>
      </c>
      <c r="U26" s="37" t="s">
        <v>55</v>
      </c>
      <c r="V26" s="34">
        <v>0.66700000000000004</v>
      </c>
      <c r="W26" s="34">
        <v>0.33100000000000002</v>
      </c>
      <c r="X26" s="34">
        <v>0.26500000000000001</v>
      </c>
      <c r="Y26" s="34">
        <v>0.69</v>
      </c>
      <c r="Z26" s="34">
        <v>0.14799999999999999</v>
      </c>
      <c r="AA26" s="34">
        <v>0.06</v>
      </c>
      <c r="AB26" s="37"/>
    </row>
    <row r="27" spans="2:28" ht="15" thickBot="1" x14ac:dyDescent="0.45">
      <c r="O27" s="73" cm="1">
        <f t="array" ref="O27">PQ2nits((2055+65*Q27)/(2055+31*65))</f>
        <v>1082.2176298226216</v>
      </c>
      <c r="P27" s="74">
        <f t="shared" si="0"/>
        <v>1082</v>
      </c>
      <c r="Q27" s="37">
        <v>16</v>
      </c>
      <c r="R27" s="37" cm="1">
        <f t="array" ref="R27">ROUND(PQ2nits((20*$Q27)/(2055+31*65)),3)</f>
        <v>0.17599999999999999</v>
      </c>
      <c r="S27" s="37">
        <v>16</v>
      </c>
      <c r="U27" s="37" t="s">
        <v>61</v>
      </c>
      <c r="V27" s="89">
        <v>0.74990000000000001</v>
      </c>
      <c r="W27" s="89">
        <v>0.24610000000000001</v>
      </c>
      <c r="X27" s="89">
        <v>3.8999999999999998E-3</v>
      </c>
      <c r="Y27" s="89">
        <v>0.99609999999999999</v>
      </c>
      <c r="Z27" s="89">
        <v>0.12889999999999999</v>
      </c>
      <c r="AA27" s="89">
        <v>3.5099999999999999E-2</v>
      </c>
    </row>
    <row r="28" spans="2:28" x14ac:dyDescent="0.4">
      <c r="O28" s="73" cm="1">
        <f t="array" ref="O28">PQ2nits((2055+65*Q28)/(2055+31*65))</f>
        <v>1252.8373417551975</v>
      </c>
      <c r="P28" s="74">
        <f t="shared" si="0"/>
        <v>1252</v>
      </c>
      <c r="Q28" s="37">
        <v>17</v>
      </c>
      <c r="R28" s="37" cm="1">
        <f t="array" ref="R28">ROUND(PQ2nits((20*$Q28)/(2055+31*65)),3)</f>
        <v>0.20399999999999999</v>
      </c>
      <c r="S28" s="37">
        <v>17</v>
      </c>
      <c r="AB28" s="76"/>
    </row>
    <row r="29" spans="2:28" x14ac:dyDescent="0.4">
      <c r="O29" s="73" cm="1">
        <f t="array" ref="O29">PQ2nits((2055+65*Q29)/(2055+31*65))</f>
        <v>1450.3085913304442</v>
      </c>
      <c r="P29" s="74">
        <f t="shared" si="0"/>
        <v>1450</v>
      </c>
      <c r="Q29" s="37">
        <v>18</v>
      </c>
      <c r="R29" s="37" cm="1">
        <f t="array" ref="R29">ROUND(PQ2nits((20*$Q29)/(2055+31*65)),3)</f>
        <v>0.23599999999999999</v>
      </c>
      <c r="S29" s="37">
        <v>18</v>
      </c>
      <c r="U29" s="37" t="s">
        <v>81</v>
      </c>
      <c r="V29" s="34">
        <v>0.62890000000000001</v>
      </c>
      <c r="W29" s="34">
        <v>0.24610000000000001</v>
      </c>
      <c r="X29" s="34">
        <v>3.8999999999999998E-3</v>
      </c>
      <c r="Y29" s="34">
        <v>0.49609999999999999</v>
      </c>
      <c r="Z29" s="34">
        <v>0.12889999999999999</v>
      </c>
      <c r="AA29" s="34">
        <v>3.5099999999999999E-2</v>
      </c>
      <c r="AB29" s="76"/>
    </row>
    <row r="30" spans="2:28" x14ac:dyDescent="0.4">
      <c r="O30" s="73" cm="1">
        <f t="array" ref="O30">PQ2nits((2055+65*Q30)/(2055+31*65))</f>
        <v>1678.9673833059749</v>
      </c>
      <c r="P30" s="74">
        <f t="shared" si="0"/>
        <v>1678</v>
      </c>
      <c r="Q30" s="37">
        <v>19</v>
      </c>
      <c r="R30" s="37" cm="1">
        <f t="array" ref="R30">ROUND(PQ2nits((20*$Q30)/(2055+31*65)),3)</f>
        <v>0.27100000000000002</v>
      </c>
      <c r="S30" s="37">
        <v>19</v>
      </c>
      <c r="U30" s="37" t="s">
        <v>82</v>
      </c>
      <c r="V30" s="34">
        <v>0.74990000000000001</v>
      </c>
      <c r="W30" s="34">
        <v>0.37109999999999999</v>
      </c>
      <c r="X30" s="34">
        <v>0.49990000000000001</v>
      </c>
      <c r="Y30" s="34">
        <v>0.99609999999999999</v>
      </c>
      <c r="Z30" s="34">
        <v>0.15240000000000001</v>
      </c>
      <c r="AA30" s="34">
        <v>6.2399999999999997E-2</v>
      </c>
      <c r="AB30" s="76"/>
    </row>
    <row r="31" spans="2:28" x14ac:dyDescent="0.4">
      <c r="O31" s="73" cm="1">
        <f t="array" ref="O31">PQ2nits((2055+65*Q31)/(2055+31*65))</f>
        <v>1943.8833082164776</v>
      </c>
      <c r="P31" s="74">
        <f t="shared" si="0"/>
        <v>1943</v>
      </c>
      <c r="Q31" s="37">
        <v>20</v>
      </c>
      <c r="R31" s="37" cm="1">
        <f t="array" ref="R31">ROUND(PQ2nits((20*$Q31)/(2055+31*65)),3)</f>
        <v>0.31</v>
      </c>
      <c r="S31" s="37">
        <v>20</v>
      </c>
      <c r="AB31" s="76"/>
    </row>
    <row r="32" spans="2:28" x14ac:dyDescent="0.4">
      <c r="O32" s="73" cm="1">
        <f t="array" ref="O32">PQ2nits((2055+65*Q32)/(2055+31*65))</f>
        <v>2250.9912958813088</v>
      </c>
      <c r="P32" s="74">
        <f t="shared" si="0"/>
        <v>2250</v>
      </c>
      <c r="Q32" s="37">
        <v>21</v>
      </c>
      <c r="R32" s="37" cm="1">
        <f t="array" ref="R32">ROUND(PQ2nits((20*$Q32)/(2055+31*65)),3)</f>
        <v>0.35299999999999998</v>
      </c>
      <c r="S32" s="37">
        <v>21</v>
      </c>
      <c r="U32" s="31" t="s">
        <v>6</v>
      </c>
      <c r="V32" s="31" t="s">
        <v>24</v>
      </c>
      <c r="AB32" s="76"/>
    </row>
    <row r="33" spans="2:38" x14ac:dyDescent="0.4">
      <c r="O33" s="73" cm="1">
        <f t="array" ref="O33">PQ2nits((2055+65*Q33)/(2055+31*65))</f>
        <v>2607.2486693335695</v>
      </c>
      <c r="P33" s="74">
        <f t="shared" si="0"/>
        <v>2607</v>
      </c>
      <c r="Q33" s="37">
        <v>22</v>
      </c>
      <c r="R33" s="37" cm="1">
        <f t="array" ref="R33">ROUND(PQ2nits((20*$Q33)/(2055+31*65)),3)</f>
        <v>0.39900000000000002</v>
      </c>
      <c r="S33" s="37">
        <v>22</v>
      </c>
      <c r="U33" s="37" t="s">
        <v>13</v>
      </c>
      <c r="V33" s="33" t="s">
        <v>89</v>
      </c>
      <c r="AB33" s="76"/>
    </row>
    <row r="34" spans="2:38" x14ac:dyDescent="0.4">
      <c r="O34" s="73" cm="1">
        <f t="array" ref="O34">PQ2nits((2055+65*Q34)/(2055+31*65))</f>
        <v>3020.8227108925894</v>
      </c>
      <c r="P34" s="74">
        <f t="shared" si="0"/>
        <v>3020</v>
      </c>
      <c r="Q34" s="37">
        <v>23</v>
      </c>
      <c r="R34" s="37" cm="1">
        <f t="array" ref="R34">ROUND(PQ2nits((20*$Q34)/(2055+31*65)),3)</f>
        <v>0.45</v>
      </c>
      <c r="S34" s="37">
        <v>23</v>
      </c>
      <c r="U34" s="37" t="s">
        <v>88</v>
      </c>
      <c r="V34" s="33" t="s">
        <v>9</v>
      </c>
      <c r="AB34" s="76"/>
    </row>
    <row r="35" spans="2:38" x14ac:dyDescent="0.4">
      <c r="O35" s="73" cm="1">
        <f t="array" ref="O35">PQ2nits((2055+65*Q35)/(2055+31*65))</f>
        <v>3501.3151049329572</v>
      </c>
      <c r="P35" s="74">
        <f t="shared" si="0"/>
        <v>3501</v>
      </c>
      <c r="Q35" s="37">
        <v>24</v>
      </c>
      <c r="R35" s="37" cm="1">
        <f t="array" ref="R35">ROUND(PQ2nits((20*$Q35)/(2055+31*65)),3)</f>
        <v>0.50600000000000001</v>
      </c>
      <c r="S35" s="37">
        <v>24</v>
      </c>
      <c r="AB35" s="76"/>
    </row>
    <row r="36" spans="2:38" x14ac:dyDescent="0.4">
      <c r="O36" s="73" cm="1">
        <f t="array" ref="O36">PQ2nits((2055+65*Q36)/(2055+31*65))</f>
        <v>4060.0310484963115</v>
      </c>
      <c r="P36" s="74">
        <f t="shared" si="0"/>
        <v>4060</v>
      </c>
      <c r="Q36" s="37">
        <v>25</v>
      </c>
      <c r="R36" s="37" cm="1">
        <f t="array" ref="R36">ROUND(PQ2nits((20*$Q36)/(2055+31*65)),3)</f>
        <v>0.56599999999999995</v>
      </c>
      <c r="S36" s="37">
        <v>25</v>
      </c>
      <c r="U36" s="47"/>
      <c r="V36" s="47"/>
      <c r="W36" s="47"/>
      <c r="X36" s="47"/>
      <c r="Y36" s="47"/>
      <c r="Z36" s="47"/>
      <c r="AA36" s="47"/>
      <c r="AB36" s="78"/>
    </row>
    <row r="37" spans="2:38" x14ac:dyDescent="0.4">
      <c r="O37" s="73" cm="1">
        <f t="array" ref="O37">PQ2nits((2055+65*Q37)/(2055+31*65))</f>
        <v>4710.3025909539483</v>
      </c>
      <c r="P37" s="74">
        <f t="shared" si="0"/>
        <v>4710</v>
      </c>
      <c r="Q37" s="37">
        <v>26</v>
      </c>
      <c r="R37" s="37" cm="1">
        <f t="array" ref="R37">ROUND(PQ2nits((20*$Q37)/(2055+31*65)),3)</f>
        <v>0.63100000000000001</v>
      </c>
      <c r="S37" s="37">
        <v>26</v>
      </c>
      <c r="U37" s="47"/>
      <c r="V37" s="47"/>
      <c r="W37" s="47"/>
      <c r="X37" s="47"/>
      <c r="Y37" s="47"/>
      <c r="Z37" s="47"/>
      <c r="AA37" s="47"/>
      <c r="AB37" s="78"/>
    </row>
    <row r="38" spans="2:38" x14ac:dyDescent="0.4">
      <c r="O38" s="73" cm="1">
        <f t="array" ref="O38">PQ2nits((2055+65*Q38)/(2055+31*65))</f>
        <v>5467.8779662038578</v>
      </c>
      <c r="P38" s="74">
        <f t="shared" si="0"/>
        <v>5467</v>
      </c>
      <c r="Q38" s="37">
        <v>27</v>
      </c>
      <c r="R38" s="37" cm="1">
        <f t="array" ref="R38">ROUND(PQ2nits((20*$Q38)/(2055+31*65)),3)</f>
        <v>0.70199999999999996</v>
      </c>
      <c r="S38" s="37">
        <v>27</v>
      </c>
      <c r="U38" s="47"/>
      <c r="V38" s="47"/>
      <c r="W38" s="47"/>
      <c r="X38" s="47"/>
      <c r="Y38" s="47"/>
      <c r="Z38" s="47"/>
      <c r="AA38" s="47"/>
      <c r="AB38" s="78"/>
    </row>
    <row r="39" spans="2:38" x14ac:dyDescent="0.4">
      <c r="O39" s="73" cm="1">
        <f t="array" ref="O39">PQ2nits((2055+65*Q39)/(2055+31*65))</f>
        <v>6351.3914286654081</v>
      </c>
      <c r="P39" s="74">
        <f t="shared" si="0"/>
        <v>6351</v>
      </c>
      <c r="Q39" s="37">
        <v>28</v>
      </c>
      <c r="R39" s="37" cm="1">
        <f t="array" ref="R39">ROUND(PQ2nits((20*$Q39)/(2055+31*65)),3)</f>
        <v>0.77900000000000003</v>
      </c>
      <c r="S39" s="37">
        <v>28</v>
      </c>
      <c r="U39" s="47"/>
      <c r="V39" s="47"/>
      <c r="W39" s="47"/>
      <c r="X39" s="47"/>
      <c r="Y39" s="47"/>
      <c r="Z39" s="47"/>
      <c r="AA39" s="47"/>
      <c r="AB39" s="78"/>
      <c r="AI39" s="47"/>
      <c r="AJ39" s="47"/>
      <c r="AK39" s="47"/>
      <c r="AL39" s="47"/>
    </row>
    <row r="40" spans="2:38" x14ac:dyDescent="0.4">
      <c r="O40" s="73" cm="1">
        <f t="array" ref="O40">PQ2nits((2055+65*Q40)/(2055+31*65))</f>
        <v>7382.9315427440533</v>
      </c>
      <c r="P40" s="74">
        <f t="shared" si="0"/>
        <v>7382</v>
      </c>
      <c r="Q40" s="37">
        <v>29</v>
      </c>
      <c r="R40" s="37" cm="1">
        <f t="array" ref="R40">ROUND(PQ2nits((20*$Q40)/(2055+31*65)),3)</f>
        <v>0.86199999999999999</v>
      </c>
      <c r="S40" s="37">
        <v>29</v>
      </c>
      <c r="AB40" s="76"/>
      <c r="AI40" s="47"/>
      <c r="AJ40" s="47"/>
      <c r="AK40" s="47"/>
      <c r="AL40" s="47"/>
    </row>
    <row r="41" spans="2:38" x14ac:dyDescent="0.4">
      <c r="O41" s="73" cm="1">
        <f t="array" ref="O41">PQ2nits((2055+65*Q41)/(2055+31*65))</f>
        <v>8588.7301910478836</v>
      </c>
      <c r="P41" s="74">
        <f t="shared" si="0"/>
        <v>8588</v>
      </c>
      <c r="Q41" s="37">
        <v>30</v>
      </c>
      <c r="R41" s="37" cm="1">
        <f t="array" ref="R41">ROUND(PQ2nits((20*$Q41)/(2055+31*65)),3)</f>
        <v>0.95099999999999996</v>
      </c>
      <c r="S41" s="37">
        <v>30</v>
      </c>
      <c r="AB41" s="76"/>
      <c r="AI41" s="47"/>
      <c r="AJ41" s="47"/>
      <c r="AK41" s="47"/>
      <c r="AL41" s="47"/>
    </row>
    <row r="42" spans="2:38" ht="15.45" customHeight="1" x14ac:dyDescent="0.55000000000000004">
      <c r="C42" s="48"/>
      <c r="D42" s="48"/>
      <c r="E42" s="48"/>
      <c r="F42" s="48"/>
      <c r="G42" s="48"/>
      <c r="H42" s="48"/>
      <c r="I42" s="48"/>
      <c r="J42" s="48"/>
      <c r="K42" s="48"/>
      <c r="L42" s="48"/>
      <c r="O42" s="79" cm="1">
        <f t="array" ref="O42">PQ2nits((2055+65*Q42)/(2055+31*65))</f>
        <v>10000</v>
      </c>
      <c r="P42" s="80">
        <f t="shared" si="0"/>
        <v>10000</v>
      </c>
      <c r="Q42" s="81">
        <v>31</v>
      </c>
      <c r="R42" s="81" cm="1">
        <f t="array" ref="R42">ROUND(PQ2nits((20*$Q42)/(2055+31*65)),3)</f>
        <v>1.048</v>
      </c>
      <c r="S42" s="81">
        <v>31</v>
      </c>
      <c r="T42" s="82"/>
      <c r="U42" s="82"/>
      <c r="V42" s="82"/>
      <c r="W42" s="82"/>
      <c r="X42" s="82"/>
      <c r="Y42" s="82"/>
      <c r="Z42" s="82"/>
      <c r="AA42" s="82"/>
      <c r="AB42" s="83"/>
      <c r="AI42" s="47"/>
      <c r="AJ42" s="47"/>
      <c r="AK42" s="47"/>
      <c r="AL42" s="47"/>
    </row>
    <row r="43" spans="2:38" x14ac:dyDescent="0.4">
      <c r="U43" s="47"/>
      <c r="V43" s="47"/>
      <c r="W43" s="47"/>
      <c r="X43" s="47"/>
      <c r="Y43" s="47"/>
      <c r="Z43" s="47"/>
      <c r="AI43" s="47"/>
      <c r="AJ43" s="47"/>
      <c r="AK43" s="47"/>
      <c r="AL43" s="47"/>
    </row>
    <row r="44" spans="2:38" ht="20.6" x14ac:dyDescent="0.55000000000000004">
      <c r="B44" s="48" t="s">
        <v>59</v>
      </c>
      <c r="U44" s="47"/>
      <c r="V44" s="47"/>
      <c r="W44" s="47"/>
      <c r="X44" s="47"/>
      <c r="Y44" s="47"/>
      <c r="Z44" s="47"/>
      <c r="AI44" s="47"/>
      <c r="AJ44" s="47"/>
      <c r="AK44" s="47"/>
      <c r="AL44" s="47"/>
    </row>
    <row r="45" spans="2:38" x14ac:dyDescent="0.4">
      <c r="U45" s="47"/>
      <c r="V45" s="47"/>
      <c r="W45" s="47"/>
      <c r="X45" s="47"/>
      <c r="Y45" s="47"/>
      <c r="Z45" s="47"/>
      <c r="AI45" s="47"/>
      <c r="AJ45" s="47"/>
      <c r="AK45" s="47"/>
      <c r="AL45" s="47"/>
    </row>
    <row r="46" spans="2:38" x14ac:dyDescent="0.4">
      <c r="U46" s="47"/>
      <c r="V46" s="47"/>
      <c r="W46" s="47"/>
      <c r="X46" s="47"/>
      <c r="Y46" s="47"/>
      <c r="Z46" s="47"/>
      <c r="AI46" s="47"/>
      <c r="AJ46" s="47"/>
      <c r="AK46" s="47"/>
      <c r="AL46" s="47"/>
    </row>
  </sheetData>
  <sheetProtection sheet="1" objects="1" scenarios="1" formatCells="0" formatColumns="0" formatRows="0"/>
  <mergeCells count="9">
    <mergeCell ref="R4:S4"/>
    <mergeCell ref="B9:E9"/>
    <mergeCell ref="F9:H9"/>
    <mergeCell ref="B4:E4"/>
    <mergeCell ref="F4:H4"/>
    <mergeCell ref="I4:K4"/>
    <mergeCell ref="L4:M4"/>
    <mergeCell ref="N4:O4"/>
    <mergeCell ref="P4:Q4"/>
  </mergeCells>
  <conditionalFormatting sqref="O6">
    <cfRule type="expression" dxfId="6" priority="6">
      <formula>$M$6="Supported"</formula>
    </cfRule>
  </conditionalFormatting>
  <conditionalFormatting sqref="O6">
    <cfRule type="expression" dxfId="5" priority="5" stopIfTrue="1">
      <formula>IF(AND($M$6="Supported",$O$6="Supported"),TRUE,FALSE)</formula>
    </cfRule>
  </conditionalFormatting>
  <conditionalFormatting sqref="M6">
    <cfRule type="expression" dxfId="4" priority="3">
      <formula>$O$6="Supported"</formula>
    </cfRule>
  </conditionalFormatting>
  <conditionalFormatting sqref="M6">
    <cfRule type="expression" dxfId="3" priority="2" stopIfTrue="1">
      <formula>IF(AND($M$6="Supported",$O$6="Supported"),TRUE,FALSE)</formula>
    </cfRule>
  </conditionalFormatting>
  <conditionalFormatting sqref="H6">
    <cfRule type="expression" dxfId="2" priority="1">
      <formula>$D$6="Not Supported"</formula>
    </cfRule>
  </conditionalFormatting>
  <dataValidations count="17">
    <dataValidation type="list" allowBlank="1" showInputMessage="1" showErrorMessage="1" sqref="J2" xr:uid="{005F29A1-7093-754F-916C-40B30471C0A2}">
      <formula1>#REF!</formula1>
    </dataValidation>
    <dataValidation type="list" allowBlank="1" showInputMessage="1" showErrorMessage="1" sqref="O6 M6" xr:uid="{0C0EC35E-EA69-C946-AF72-E8F992D74A5E}">
      <formula1>"Not Supported"</formula1>
    </dataValidation>
    <dataValidation type="list" allowBlank="1" showInputMessage="1" showErrorMessage="1" sqref="E6" xr:uid="{864F9CE1-B614-8747-B7BB-A20494F5E08F}">
      <formula1>"Supported"</formula1>
    </dataValidation>
    <dataValidation type="list" allowBlank="1" showInputMessage="1" showErrorMessage="1" sqref="F6" xr:uid="{CC5D0C1F-F0AC-E04B-BD6E-851907E173E2}">
      <formula1>$R$11:$R$42</formula1>
    </dataValidation>
    <dataValidation type="list" allowBlank="1" showInputMessage="1" showErrorMessage="1" sqref="I6" xr:uid="{FE6A289A-6A40-5A4D-893C-BF1380C0A3E4}">
      <formula1>$P$11:$P$42</formula1>
    </dataValidation>
    <dataValidation type="decimal" showInputMessage="1" showErrorMessage="1" sqref="Z30" xr:uid="{27313C37-CD2F-4FC7-BCC1-3FB636A73D03}">
      <formula1>0</formula1>
      <formula2>1</formula2>
    </dataValidation>
    <dataValidation type="decimal" showInputMessage="1" showErrorMessage="1" sqref="AA22:AA27" xr:uid="{E87592EF-0C99-4EDE-95FB-19F0E12298D1}">
      <formula1>0.0351</formula1>
      <formula2>0.0624</formula2>
    </dataValidation>
    <dataValidation type="decimal" showInputMessage="1" showErrorMessage="1" sqref="Z22:Z27" xr:uid="{2AF5C9AF-281B-4832-BC3D-043194EFBA52}">
      <formula1>0.1289</formula1>
      <formula2>0.1524</formula2>
    </dataValidation>
    <dataValidation type="decimal" showInputMessage="1" showErrorMessage="1" sqref="Y22:Y27" xr:uid="{EC91594A-B969-44F6-BEFB-EEDAA06477DE}">
      <formula1>0.4961</formula1>
      <formula2>0.9961</formula2>
    </dataValidation>
    <dataValidation type="decimal" showInputMessage="1" showErrorMessage="1" sqref="X22:X27" xr:uid="{5360982F-1983-48F8-9D4E-25214F9C310E}">
      <formula1>0.0039</formula1>
      <formula2>0.4999</formula2>
    </dataValidation>
    <dataValidation type="decimal" showInputMessage="1" showErrorMessage="1" sqref="W22:W27" xr:uid="{BFF8A02D-1FD3-4252-B853-AAFB6F7223B6}">
      <formula1>0.2461</formula1>
      <formula2>0.3711</formula2>
    </dataValidation>
    <dataValidation type="decimal" showInputMessage="1" showErrorMessage="1" sqref="V22:V27" xr:uid="{43C25683-6CC1-49AD-AFCF-50F9183A6A12}">
      <formula1>0.6289</formula1>
      <formula2>0.7499</formula2>
    </dataValidation>
    <dataValidation type="list" allowBlank="1" showInputMessage="1" showErrorMessage="1" sqref="K6" xr:uid="{7D0FD65E-6DAC-EC4E-9992-FA941EE95428}">
      <formula1>$U$18:$U$19</formula1>
    </dataValidation>
    <dataValidation type="list" allowBlank="1" showInputMessage="1" showErrorMessage="1" sqref="D6 G6" xr:uid="{DBB6280A-B635-40ED-AF5F-1DC4DF1AD952}">
      <formula1>"Supported, Not Supported"</formula1>
    </dataValidation>
    <dataValidation type="list" allowBlank="1" showInputMessage="1" showErrorMessage="1" sqref="H6" xr:uid="{94651BC7-D32B-45B9-9E2F-B2CCCBA30F4D}">
      <formula1>$U$11:$U$15</formula1>
    </dataValidation>
    <dataValidation type="list" allowBlank="1" showInputMessage="1" showErrorMessage="1" sqref="M2" xr:uid="{BEFE1550-5E79-DD43-9403-D6679E626BA9}">
      <formula1>$U$22:$U$27</formula1>
    </dataValidation>
    <dataValidation type="list" allowBlank="1" showInputMessage="1" showErrorMessage="1" sqref="C6" xr:uid="{32E7A809-0074-40F4-931A-99C15AB5014D}">
      <formula1>$U$33:$U$34</formula1>
    </dataValidation>
  </dataValidations>
  <hyperlinks>
    <hyperlink ref="AB24" r:id="rId1" xr:uid="{81F2403B-9C78-4B9D-A80D-8AD47A55EB96}"/>
    <hyperlink ref="AB23" r:id="rId2" xr:uid="{7C645077-5D70-449D-89ED-3FCC47177021}"/>
    <hyperlink ref="AB22" r:id="rId3" xr:uid="{179228E7-42CD-48F1-AB64-FB2EDBA7AD7E}"/>
  </hyperlinks>
  <pageMargins left="0.7" right="0.7" top="0.75" bottom="0.75" header="0.3" footer="0.3"/>
  <pageSetup orientation="portrait" r:id="rId4"/>
  <ignoredErrors>
    <ignoredError sqref="B7" numberStoredAsText="1"/>
    <ignoredError sqref="F7" formula="1"/>
  </ignoredErrors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3769-E323-4F67-B30F-CA98633B0A10}">
  <sheetPr codeName="Sheet02"/>
  <dimension ref="B1:AL49"/>
  <sheetViews>
    <sheetView tabSelected="1" zoomScaleNormal="100" workbookViewId="0"/>
  </sheetViews>
  <sheetFormatPr defaultColWidth="8.84375" defaultRowHeight="14.6" x14ac:dyDescent="0.4"/>
  <cols>
    <col min="1" max="1" width="3.84375" customWidth="1"/>
    <col min="2" max="9" width="6.3828125" bestFit="1" customWidth="1"/>
    <col min="10" max="10" width="7.53515625" customWidth="1"/>
    <col min="11" max="11" width="7.69140625" customWidth="1"/>
    <col min="12" max="12" width="11.07421875" bestFit="1" customWidth="1"/>
    <col min="13" max="13" width="10.23046875" bestFit="1" customWidth="1"/>
    <col min="14" max="14" width="8.15234375" bestFit="1" customWidth="1"/>
    <col min="15" max="15" width="11.3046875" bestFit="1" customWidth="1"/>
    <col min="16" max="16" width="10.23046875" bestFit="1" customWidth="1"/>
    <col min="17" max="17" width="12" customWidth="1"/>
    <col min="18" max="18" width="13.4609375" bestFit="1" customWidth="1"/>
    <col min="19" max="20" width="7.3828125" bestFit="1" customWidth="1"/>
    <col min="21" max="21" width="7.07421875" customWidth="1"/>
    <col min="22" max="24" width="6.3828125" bestFit="1" customWidth="1"/>
    <col min="25" max="25" width="40.84375" customWidth="1"/>
    <col min="26" max="27" width="6.3828125" bestFit="1" customWidth="1"/>
    <col min="28" max="33" width="6.69140625" bestFit="1" customWidth="1"/>
    <col min="34" max="34" width="32.84375" bestFit="1" customWidth="1"/>
    <col min="37" max="37" width="32.84375" bestFit="1" customWidth="1"/>
  </cols>
  <sheetData>
    <row r="1" spans="2:25" ht="30.9" customHeight="1" thickBot="1" x14ac:dyDescent="0.95">
      <c r="B1" s="8" t="s">
        <v>73</v>
      </c>
    </row>
    <row r="2" spans="2:25" ht="15" thickBot="1" x14ac:dyDescent="0.45">
      <c r="L2" s="9" t="s">
        <v>23</v>
      </c>
      <c r="M2" s="5" t="s">
        <v>33</v>
      </c>
      <c r="O2" s="9" t="s">
        <v>71</v>
      </c>
      <c r="P2" s="90" t="s">
        <v>68</v>
      </c>
      <c r="R2" t="s">
        <v>77</v>
      </c>
    </row>
    <row r="3" spans="2:25" ht="15" thickBot="1" x14ac:dyDescent="0.45">
      <c r="R3" s="11"/>
      <c r="S3" t="s">
        <v>80</v>
      </c>
    </row>
    <row r="4" spans="2:25" ht="15" thickBot="1" x14ac:dyDescent="0.45">
      <c r="B4" s="13" t="str">
        <f>CONCATENATE(RIGHT(DEC2HEX(ROUND(INDEX($U$11:$U$17,MATCH($M$2,$R$11:$R$17,0))*50000,0),4),2),LEFT(DEC2HEX(ROUND(INDEX($U$11:$U$17,MATCH($M$2,$R$11:$R$17,0))*50000,0),4),2))</f>
        <v>3421</v>
      </c>
      <c r="C4" s="13" t="str">
        <f>CONCATENATE(RIGHT(DEC2HEX(ROUND(INDEX($V$11:$V$17,MATCH($M$2,$R$11:$R$17,0))*50000,0),4),2),LEFT(DEC2HEX(ROUND(INDEX($V$11:$V$17,MATCH($M$2,$R$11:$R$17,0))*50000,0),4),2))</f>
        <v>AA9B</v>
      </c>
      <c r="D4" s="13" t="str">
        <f>CONCATENATE(RIGHT(DEC2HEX(ROUND(INDEX($W$11:$W$17,MATCH($M$2,$R$11:$R$17,0))*50000,0),4),2),LEFT(DEC2HEX(ROUND(INDEX($W$11:$W$17,MATCH($M$2,$R$11:$R$17,0))*50000,0),4),2))</f>
        <v>9619</v>
      </c>
      <c r="E4" s="13" t="str">
        <f>CONCATENATE(RIGHT(DEC2HEX(ROUND(INDEX($X$11:$X$17,MATCH($M$2,$R$11:$R$17,0))*50000,0),4),2),LEFT(DEC2HEX(ROUND(INDEX($X$11:$X$17,MATCH($M$2,$R$11:$R$17,0))*50000,0),4),2))</f>
        <v>FC08</v>
      </c>
      <c r="F4" s="13" t="str">
        <f>CONCATENATE(RIGHT(DEC2HEX(ROUND(INDEX($S$11:$S$17,MATCH($M$2,$R$11:$R$17,0))*50000,0),4),2),LEFT(DEC2HEX(ROUND(INDEX($S$11:$S$17,MATCH($M$2,$R$11:$R$17,0))*50000,0),4),2))</f>
        <v>488A</v>
      </c>
      <c r="G4" s="13" t="str">
        <f>CONCATENATE(RIGHT(DEC2HEX(ROUND(INDEX($T$11:$T$17,MATCH($M$2,$R$11:$R$17,0))*50000,0),4),2),LEFT(DEC2HEX(ROUND(INDEX($T$11:$T$17,MATCH($M$2,$R$11:$R$17,0))*50000,0),4),2))</f>
        <v>0839</v>
      </c>
      <c r="H4" s="13" t="str">
        <f>CONCATENATE(RIGHT(DEC2HEX(ROUND(INDEX($S$24:$S$28,MATCH($P$2,$R$24:$R$28,0))*50000,0),4),2),LEFT(DEC2HEX(ROUND(INDEX($S$24:$S$28,MATCH($P$2,$R$24:$R$28,0))*50000,0),4),2))</f>
        <v>133D</v>
      </c>
      <c r="I4" s="13" t="str">
        <f>CONCATENATE(RIGHT(DEC2HEX(ROUND(INDEX($T$24:$T$28,MATCH($P$2,$R$24:$R$28,0))*50000,0),4),2),LEFT(DEC2HEX(ROUND(INDEX($T$24:$T$28,MATCH($P$2,$R$24:$R$28,0))*50000,0),4),2))</f>
        <v>4240</v>
      </c>
      <c r="J4" s="13" t="str">
        <f>CONCATENATE(RIGHT(DEC2HEX(ROUND(J6,0),4),2),LEFT(DEC2HEX(ROUND(J6,0),4),2))</f>
        <v>A00F</v>
      </c>
      <c r="K4" s="13" t="str">
        <f>CONCATENATE(RIGHT(DEC2HEX(ROUND(K6*10000,0),4),2),LEFT(DEC2HEX(ROUND(K6*10000,0),4),2))</f>
        <v>0100</v>
      </c>
      <c r="L4" s="13" t="str">
        <f>CONCATENATE(RIGHT(DEC2HEX(ROUND(L6,0),4),2),LEFT(DEC2HEX(ROUND(L6,0),4),2))</f>
        <v>E803</v>
      </c>
      <c r="M4" s="13" t="str">
        <f>CONCATENATE(RIGHT(DEC2HEX(ROUND(M6,0),4),2),LEFT(DEC2HEX(ROUND(M6,0),4),2))</f>
        <v>9001</v>
      </c>
      <c r="N4" s="14"/>
      <c r="O4" s="14"/>
      <c r="P4" s="14"/>
      <c r="Q4" s="14"/>
      <c r="R4" s="12"/>
      <c r="S4" t="s">
        <v>78</v>
      </c>
    </row>
    <row r="5" spans="2:25" ht="15" thickBot="1" x14ac:dyDescent="0.45">
      <c r="B5" s="16" t="s">
        <v>37</v>
      </c>
      <c r="C5" s="16" t="s">
        <v>38</v>
      </c>
      <c r="D5" s="17" t="s">
        <v>39</v>
      </c>
      <c r="E5" s="16" t="s">
        <v>40</v>
      </c>
      <c r="F5" s="17" t="s">
        <v>35</v>
      </c>
      <c r="G5" s="17" t="s">
        <v>36</v>
      </c>
      <c r="H5" s="18" t="s">
        <v>62</v>
      </c>
      <c r="I5" s="17" t="s">
        <v>66</v>
      </c>
      <c r="J5" s="16" t="s">
        <v>64</v>
      </c>
      <c r="K5" s="16" t="s">
        <v>65</v>
      </c>
      <c r="L5" s="16" t="s">
        <v>63</v>
      </c>
      <c r="M5" s="16" t="s">
        <v>84</v>
      </c>
      <c r="N5" s="19"/>
      <c r="O5" s="19"/>
      <c r="P5" s="19"/>
      <c r="Q5" s="19"/>
      <c r="R5" s="15"/>
      <c r="S5" t="s">
        <v>79</v>
      </c>
    </row>
    <row r="6" spans="2:25" ht="15" thickBot="1" x14ac:dyDescent="0.45">
      <c r="B6" s="20">
        <f>INDEX($U$11:$U$17,MATCH($M$2,$R$11:$R$17,0))</f>
        <v>0.17</v>
      </c>
      <c r="C6" s="20">
        <f>INDEX($V$11:$V$17,MATCH($M$2,$R$11:$R$17,0))</f>
        <v>0.79700000000000004</v>
      </c>
      <c r="D6" s="20">
        <f>INDEX($W$11:$W$17,MATCH($M$2,$R$11:$R$17,0))</f>
        <v>0.13100000000000001</v>
      </c>
      <c r="E6" s="20">
        <f>INDEX($X$11:$X$17,MATCH($M$2,$R$11:$R$17,0))</f>
        <v>4.5999999999999999E-2</v>
      </c>
      <c r="F6" s="20">
        <f>INDEX($S$11:$S$17,MATCH($M$2,$R$11:$R$17,0))</f>
        <v>0.70799999999999996</v>
      </c>
      <c r="G6" s="20">
        <f>INDEX($T$11:$T$17,MATCH($M$2,$R$11:$R$17,0))</f>
        <v>0.29199999999999998</v>
      </c>
      <c r="H6" s="20">
        <f>INDEX($S$24:$S$28,MATCH($P$2,$R$24:$R$28,0))</f>
        <v>0.31269999999999998</v>
      </c>
      <c r="I6" s="20">
        <f>INDEX($T$24:$T$28,MATCH($P$2,$R$24:$R$28,0))</f>
        <v>0.32900000000000001</v>
      </c>
      <c r="J6" s="7">
        <v>4000</v>
      </c>
      <c r="K6" s="6">
        <v>1E-4</v>
      </c>
      <c r="L6" s="7">
        <v>1000</v>
      </c>
      <c r="M6" s="7">
        <v>400</v>
      </c>
      <c r="N6" s="21"/>
      <c r="O6" s="21"/>
      <c r="P6" s="21"/>
      <c r="Q6" s="21"/>
      <c r="R6" s="21"/>
    </row>
    <row r="7" spans="2:25" ht="15" thickBot="1" x14ac:dyDescent="0.45">
      <c r="S7" s="94" t="s">
        <v>87</v>
      </c>
    </row>
    <row r="8" spans="2:25" ht="23.6" thickBot="1" x14ac:dyDescent="0.65">
      <c r="B8" s="22" t="s">
        <v>74</v>
      </c>
      <c r="C8" s="23"/>
      <c r="D8" s="23"/>
      <c r="E8" s="24"/>
      <c r="F8" s="25"/>
      <c r="G8" s="25"/>
      <c r="H8" s="26" t="str">
        <f>_xlfn.CONCAT(B4:M4)</f>
        <v>3421AA9B9619FC08488A0839133D4240A00F0100E8039001</v>
      </c>
      <c r="I8" s="27"/>
      <c r="J8" s="26"/>
      <c r="K8" s="28"/>
      <c r="L8" s="27"/>
      <c r="M8" s="27"/>
      <c r="N8" s="27"/>
      <c r="O8" s="27"/>
      <c r="P8" s="27"/>
      <c r="Q8" s="10"/>
      <c r="R8" s="29"/>
      <c r="S8" s="94" t="s">
        <v>86</v>
      </c>
    </row>
    <row r="9" spans="2:25" ht="15" customHeight="1" x14ac:dyDescent="0.4">
      <c r="B9" s="30"/>
    </row>
    <row r="10" spans="2:25" ht="15" customHeight="1" x14ac:dyDescent="0.4">
      <c r="B10" s="30"/>
      <c r="R10" s="31" t="s">
        <v>31</v>
      </c>
      <c r="S10" s="31" t="s">
        <v>35</v>
      </c>
      <c r="T10" s="31" t="s">
        <v>36</v>
      </c>
      <c r="U10" s="31" t="s">
        <v>37</v>
      </c>
      <c r="V10" s="31" t="s">
        <v>38</v>
      </c>
      <c r="W10" s="31" t="s">
        <v>39</v>
      </c>
      <c r="X10" s="31" t="s">
        <v>40</v>
      </c>
      <c r="Y10" s="32" t="s">
        <v>44</v>
      </c>
    </row>
    <row r="11" spans="2:25" ht="15" customHeight="1" x14ac:dyDescent="0.4">
      <c r="B11" s="30"/>
      <c r="R11" s="33" t="s">
        <v>32</v>
      </c>
      <c r="S11" s="34">
        <v>0.64</v>
      </c>
      <c r="T11" s="34">
        <v>0.33</v>
      </c>
      <c r="U11" s="34">
        <v>0.3</v>
      </c>
      <c r="V11" s="34">
        <v>0.6</v>
      </c>
      <c r="W11" s="34">
        <v>0.15</v>
      </c>
      <c r="X11" s="34">
        <v>0.06</v>
      </c>
      <c r="Y11" s="35" t="s">
        <v>43</v>
      </c>
    </row>
    <row r="12" spans="2:25" x14ac:dyDescent="0.4">
      <c r="B12" s="30"/>
      <c r="R12" s="33" t="s">
        <v>33</v>
      </c>
      <c r="S12" s="34">
        <v>0.70799999999999996</v>
      </c>
      <c r="T12" s="34">
        <v>0.29199999999999998</v>
      </c>
      <c r="U12" s="34">
        <v>0.17</v>
      </c>
      <c r="V12" s="34">
        <v>0.79700000000000004</v>
      </c>
      <c r="W12" s="34">
        <v>0.13100000000000001</v>
      </c>
      <c r="X12" s="34">
        <v>4.5999999999999999E-2</v>
      </c>
      <c r="Y12" s="35" t="s">
        <v>41</v>
      </c>
    </row>
    <row r="13" spans="2:25" x14ac:dyDescent="0.4">
      <c r="B13" s="30"/>
      <c r="R13" s="33" t="s">
        <v>34</v>
      </c>
      <c r="S13" s="34">
        <v>0.68</v>
      </c>
      <c r="T13" s="34">
        <v>0.32</v>
      </c>
      <c r="U13" s="34">
        <v>0.26500000000000001</v>
      </c>
      <c r="V13" s="34">
        <v>0.69</v>
      </c>
      <c r="W13" s="34">
        <v>0.15</v>
      </c>
      <c r="X13" s="34">
        <v>0.06</v>
      </c>
      <c r="Y13" s="35" t="s">
        <v>42</v>
      </c>
    </row>
    <row r="14" spans="2:25" ht="15" customHeight="1" x14ac:dyDescent="0.5">
      <c r="B14" s="30"/>
      <c r="K14" s="36"/>
      <c r="R14" s="37" t="s">
        <v>54</v>
      </c>
      <c r="S14" s="34">
        <v>0.66700000000000004</v>
      </c>
      <c r="T14" s="34">
        <v>0.33100000000000002</v>
      </c>
      <c r="U14" s="34">
        <v>0.314</v>
      </c>
      <c r="V14" s="34">
        <v>0.67200000000000004</v>
      </c>
      <c r="W14" s="34">
        <v>0.14799999999999999</v>
      </c>
      <c r="X14" s="34">
        <v>4.2000000000000003E-2</v>
      </c>
      <c r="Y14" s="37"/>
    </row>
    <row r="15" spans="2:25" x14ac:dyDescent="0.4">
      <c r="B15" s="30"/>
      <c r="R15" s="37" t="s">
        <v>55</v>
      </c>
      <c r="S15" s="34">
        <v>0.66700000000000004</v>
      </c>
      <c r="T15" s="34">
        <v>0.33100000000000002</v>
      </c>
      <c r="U15" s="34">
        <v>0.26500000000000001</v>
      </c>
      <c r="V15" s="34">
        <v>0.69</v>
      </c>
      <c r="W15" s="34">
        <v>0.14799999999999999</v>
      </c>
      <c r="X15" s="34">
        <v>0.06</v>
      </c>
      <c r="Y15" s="37"/>
    </row>
    <row r="16" spans="2:25" ht="15" thickBot="1" x14ac:dyDescent="0.45">
      <c r="B16" s="30"/>
      <c r="R16" s="37" t="s">
        <v>85</v>
      </c>
      <c r="S16" s="34">
        <v>0</v>
      </c>
      <c r="T16" s="34">
        <v>0</v>
      </c>
      <c r="U16" s="34">
        <v>0</v>
      </c>
      <c r="V16" s="34">
        <v>0</v>
      </c>
      <c r="W16" s="34">
        <v>0</v>
      </c>
      <c r="X16" s="34">
        <v>0</v>
      </c>
    </row>
    <row r="17" spans="15:28" ht="15" thickBot="1" x14ac:dyDescent="0.45">
      <c r="R17" s="37" t="s">
        <v>61</v>
      </c>
      <c r="S17" s="89">
        <v>0.74990000000000001</v>
      </c>
      <c r="T17" s="89">
        <v>0.24610000000000001</v>
      </c>
      <c r="U17" s="89">
        <v>3.8999999999999998E-3</v>
      </c>
      <c r="V17" s="89">
        <v>0.99609999999999999</v>
      </c>
      <c r="W17" s="89">
        <v>0.12889999999999999</v>
      </c>
      <c r="X17" s="89">
        <v>3.5099999999999999E-2</v>
      </c>
    </row>
    <row r="18" spans="15:28" x14ac:dyDescent="0.4">
      <c r="R18" s="21"/>
      <c r="S18" s="19"/>
    </row>
    <row r="19" spans="15:28" x14ac:dyDescent="0.4">
      <c r="R19" s="37" t="s">
        <v>81</v>
      </c>
      <c r="S19" s="34">
        <v>0.62890000000000001</v>
      </c>
      <c r="T19" s="34">
        <v>0.24610000000000001</v>
      </c>
      <c r="U19" s="34">
        <v>3.8999999999999998E-3</v>
      </c>
      <c r="V19" s="34">
        <v>0.49609999999999999</v>
      </c>
      <c r="W19" s="34">
        <v>0.12889999999999999</v>
      </c>
      <c r="X19" s="34">
        <v>3.5099999999999999E-2</v>
      </c>
      <c r="AB19" s="38"/>
    </row>
    <row r="20" spans="15:28" x14ac:dyDescent="0.4">
      <c r="R20" s="37" t="s">
        <v>82</v>
      </c>
      <c r="S20" s="34">
        <v>0.74990000000000001</v>
      </c>
      <c r="T20" s="34">
        <v>0.37109999999999999</v>
      </c>
      <c r="U20" s="34">
        <v>0.49990000000000001</v>
      </c>
      <c r="V20" s="34">
        <v>0.99609999999999999</v>
      </c>
      <c r="W20" s="34">
        <v>0.15240000000000001</v>
      </c>
      <c r="X20" s="34">
        <v>6.2399999999999997E-2</v>
      </c>
    </row>
    <row r="23" spans="15:28" x14ac:dyDescent="0.4">
      <c r="O23" s="40"/>
      <c r="P23" s="40"/>
      <c r="R23" s="39" t="s">
        <v>67</v>
      </c>
      <c r="S23" s="39" t="s">
        <v>62</v>
      </c>
      <c r="T23" s="31" t="s">
        <v>66</v>
      </c>
      <c r="U23" s="37"/>
      <c r="V23" s="37"/>
      <c r="W23" s="37"/>
      <c r="X23" s="37"/>
      <c r="Y23" s="37"/>
    </row>
    <row r="24" spans="15:28" x14ac:dyDescent="0.4">
      <c r="O24" s="40"/>
      <c r="P24" s="40"/>
      <c r="R24" s="41" t="s">
        <v>68</v>
      </c>
      <c r="S24" s="42">
        <v>0.31269999999999998</v>
      </c>
      <c r="T24" s="43">
        <v>0.32900000000000001</v>
      </c>
      <c r="U24" s="35" t="s">
        <v>72</v>
      </c>
      <c r="V24" s="37"/>
      <c r="W24" s="37"/>
      <c r="X24" s="37"/>
      <c r="Y24" s="37"/>
    </row>
    <row r="25" spans="15:28" x14ac:dyDescent="0.4">
      <c r="O25" s="40"/>
      <c r="P25" s="40"/>
      <c r="R25" s="41" t="s">
        <v>69</v>
      </c>
      <c r="S25" s="42">
        <v>0.314</v>
      </c>
      <c r="T25" s="43">
        <v>0.35099999999999998</v>
      </c>
      <c r="U25" s="35" t="s">
        <v>42</v>
      </c>
      <c r="V25" s="37"/>
      <c r="W25" s="37"/>
      <c r="X25" s="37"/>
      <c r="Y25" s="37"/>
    </row>
    <row r="26" spans="15:28" x14ac:dyDescent="0.4">
      <c r="O26" s="40"/>
      <c r="P26" s="40"/>
      <c r="R26" s="41" t="s">
        <v>70</v>
      </c>
      <c r="S26" s="42">
        <v>0.32168000000000002</v>
      </c>
      <c r="T26" s="43">
        <v>0.33767000000000003</v>
      </c>
      <c r="U26" s="35" t="s">
        <v>42</v>
      </c>
      <c r="V26" s="37"/>
      <c r="W26" s="37"/>
      <c r="X26" s="37"/>
      <c r="Y26" s="37"/>
    </row>
    <row r="27" spans="15:28" ht="15" thickBot="1" x14ac:dyDescent="0.45">
      <c r="O27" s="40"/>
      <c r="P27" s="40"/>
      <c r="R27" s="44" t="s">
        <v>85</v>
      </c>
      <c r="S27" s="45">
        <v>0</v>
      </c>
      <c r="T27" s="43">
        <v>0</v>
      </c>
    </row>
    <row r="28" spans="15:28" ht="15" thickBot="1" x14ac:dyDescent="0.45">
      <c r="O28" s="40"/>
      <c r="P28" s="40"/>
      <c r="R28" s="44" t="s">
        <v>61</v>
      </c>
      <c r="S28" s="91">
        <v>0.31269999999999998</v>
      </c>
      <c r="T28" s="92">
        <v>0.32900000000000001</v>
      </c>
    </row>
    <row r="29" spans="15:28" x14ac:dyDescent="0.4">
      <c r="O29" s="40"/>
      <c r="P29" s="40"/>
    </row>
    <row r="30" spans="15:28" x14ac:dyDescent="0.4">
      <c r="O30" s="40"/>
      <c r="P30" s="40"/>
      <c r="R30" s="44" t="s">
        <v>81</v>
      </c>
      <c r="S30" s="45">
        <v>0.28315000000000001</v>
      </c>
      <c r="T30" s="43">
        <v>0.29710999999999999</v>
      </c>
      <c r="U30" s="46" t="s">
        <v>83</v>
      </c>
    </row>
    <row r="31" spans="15:28" x14ac:dyDescent="0.4">
      <c r="O31" s="40"/>
      <c r="P31" s="40"/>
      <c r="R31" s="37" t="s">
        <v>82</v>
      </c>
      <c r="S31" s="43">
        <v>0.34772999999999998</v>
      </c>
      <c r="T31" s="43">
        <v>0.35952000000000001</v>
      </c>
    </row>
    <row r="32" spans="15:28" x14ac:dyDescent="0.4">
      <c r="O32" s="40"/>
      <c r="P32" s="40"/>
    </row>
    <row r="33" spans="3:38" x14ac:dyDescent="0.4">
      <c r="O33" s="40"/>
      <c r="P33" s="40"/>
    </row>
    <row r="34" spans="3:38" x14ac:dyDescent="0.4">
      <c r="O34" s="40"/>
      <c r="P34" s="40"/>
      <c r="AI34" s="47"/>
      <c r="AJ34" s="47"/>
      <c r="AK34" s="47"/>
      <c r="AL34" s="47"/>
    </row>
    <row r="35" spans="3:38" x14ac:dyDescent="0.4">
      <c r="O35" s="40"/>
      <c r="P35" s="40"/>
      <c r="AI35" s="47"/>
      <c r="AJ35" s="47"/>
      <c r="AK35" s="47"/>
      <c r="AL35" s="47"/>
    </row>
    <row r="36" spans="3:38" x14ac:dyDescent="0.4">
      <c r="O36" s="40"/>
      <c r="P36" s="40"/>
      <c r="AI36" s="47"/>
      <c r="AJ36" s="47"/>
      <c r="AK36" s="47"/>
      <c r="AL36" s="47"/>
    </row>
    <row r="37" spans="3:38" x14ac:dyDescent="0.4">
      <c r="O37" s="40"/>
      <c r="P37" s="40"/>
      <c r="AI37" s="47"/>
      <c r="AJ37" s="47"/>
      <c r="AK37" s="47"/>
      <c r="AL37" s="47"/>
    </row>
    <row r="38" spans="3:38" x14ac:dyDescent="0.4">
      <c r="O38" s="40"/>
      <c r="P38" s="40"/>
      <c r="AC38" s="47"/>
      <c r="AD38" s="47"/>
      <c r="AE38" s="47"/>
      <c r="AF38" s="47"/>
      <c r="AG38" s="47"/>
      <c r="AH38" s="47"/>
      <c r="AI38" s="47"/>
      <c r="AJ38" s="47"/>
      <c r="AK38" s="47"/>
      <c r="AL38" s="47"/>
    </row>
    <row r="39" spans="3:38" x14ac:dyDescent="0.4">
      <c r="O39" s="40"/>
      <c r="P39" s="40"/>
      <c r="AC39" s="47"/>
      <c r="AD39" s="47"/>
      <c r="AE39" s="47"/>
      <c r="AF39" s="47"/>
      <c r="AG39" s="47"/>
      <c r="AH39" s="47"/>
      <c r="AI39" s="47"/>
      <c r="AJ39" s="47"/>
      <c r="AK39" s="47"/>
      <c r="AL39" s="47"/>
    </row>
    <row r="40" spans="3:38" ht="20.6" x14ac:dyDescent="0.55000000000000004">
      <c r="C40" s="48"/>
      <c r="D40" s="48"/>
      <c r="E40" s="48"/>
      <c r="F40" s="48"/>
      <c r="G40" s="48"/>
      <c r="H40" s="48"/>
      <c r="I40" s="48"/>
      <c r="J40" s="48"/>
      <c r="K40" s="48"/>
      <c r="L40" s="48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</row>
    <row r="41" spans="3:38" x14ac:dyDescent="0.4"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</row>
    <row r="49" spans="2:2" ht="20.6" x14ac:dyDescent="0.55000000000000004">
      <c r="B49" s="48" t="s">
        <v>59</v>
      </c>
    </row>
  </sheetData>
  <sheetProtection sheet="1" objects="1" scenarios="1" formatCells="0" formatColumns="0" formatRows="0"/>
  <conditionalFormatting sqref="M6">
    <cfRule type="expression" dxfId="1" priority="2">
      <formula>#REF!="Supported"</formula>
    </cfRule>
  </conditionalFormatting>
  <conditionalFormatting sqref="M6">
    <cfRule type="expression" dxfId="0" priority="1" stopIfTrue="1">
      <formula>IF(AND(#REF!="Supported",#REF!="Supported"),TRUE,FALSE)</formula>
    </cfRule>
  </conditionalFormatting>
  <dataValidations count="14">
    <dataValidation type="list" allowBlank="1" showInputMessage="1" showErrorMessage="1" sqref="J2" xr:uid="{D58B9F7B-5869-4DBB-83BF-E8AD32B9E437}">
      <formula1>#REF!</formula1>
    </dataValidation>
    <dataValidation type="decimal" showInputMessage="1" showErrorMessage="1" sqref="W20" xr:uid="{F64AE9CA-86DA-4719-8CA4-3487FDA9252D}">
      <formula1>0</formula1>
      <formula2>1</formula2>
    </dataValidation>
    <dataValidation type="whole" showInputMessage="1" showErrorMessage="1" sqref="L6:M6 J6" xr:uid="{701A76EE-E54B-4546-BB7E-AB8608539428}">
      <formula1>0</formula1>
      <formula2>10000</formula2>
    </dataValidation>
    <dataValidation type="decimal" showInputMessage="1" showErrorMessage="1" sqref="K6" xr:uid="{FBFC5D44-7D2A-4C96-8329-0CDB133AA628}">
      <formula1>0</formula1>
      <formula2>1.048</formula2>
    </dataValidation>
    <dataValidation type="list" allowBlank="1" showInputMessage="1" showErrorMessage="1" sqref="M2" xr:uid="{8A50EA43-07AC-4492-BD42-177CAFC0D1A1}">
      <formula1>$R$11:$R$17</formula1>
    </dataValidation>
    <dataValidation type="decimal" showInputMessage="1" showErrorMessage="1" sqref="S11:S15 S17" xr:uid="{060CD0AA-3878-4DA7-8A86-F9E53973BBE9}">
      <formula1>0.6289</formula1>
      <formula2>0.7499</formula2>
    </dataValidation>
    <dataValidation type="decimal" showInputMessage="1" showErrorMessage="1" sqref="V11:V15 V17" xr:uid="{75599D95-B10B-4602-8357-7A8987E6F092}">
      <formula1>0.4961</formula1>
      <formula2>0.9961</formula2>
    </dataValidation>
    <dataValidation type="decimal" showInputMessage="1" showErrorMessage="1" sqref="X11:X15 X17" xr:uid="{A2F97B4E-EA60-444C-B2CB-788BA388A781}">
      <formula1>0.0351</formula1>
      <formula2>0.0624</formula2>
    </dataValidation>
    <dataValidation type="decimal" showInputMessage="1" showErrorMessage="1" sqref="W11:W15 W17" xr:uid="{FB843466-C127-4068-B7F6-6A2B1DCBE47C}">
      <formula1>0.1289</formula1>
      <formula2>0.1524</formula2>
    </dataValidation>
    <dataValidation type="decimal" showInputMessage="1" showErrorMessage="1" sqref="U11:U15 U17" xr:uid="{A64C7FE8-DC01-4F5F-B661-35B0AC272E8E}">
      <formula1>0.0039</formula1>
      <formula2>0.4999</formula2>
    </dataValidation>
    <dataValidation type="decimal" showInputMessage="1" showErrorMessage="1" sqref="T11:T15 T17" xr:uid="{15391F25-3B51-4EF9-8CE0-59982C3BB6C8}">
      <formula1>0.2461</formula1>
      <formula2>0.3711</formula2>
    </dataValidation>
    <dataValidation type="decimal" showInputMessage="1" showErrorMessage="1" sqref="T24:T26 T28" xr:uid="{E66C3C69-A366-4BC7-A452-E8B077472364}">
      <formula1>0.29711</formula1>
      <formula2>0.35952</formula2>
    </dataValidation>
    <dataValidation type="decimal" showInputMessage="1" showErrorMessage="1" sqref="S24:S26 S28" xr:uid="{79879875-FD8B-4A6C-9572-54FDF95D9635}">
      <formula1>0.28315</formula1>
      <formula2>0.34773</formula2>
    </dataValidation>
    <dataValidation type="list" allowBlank="1" showInputMessage="1" showErrorMessage="1" sqref="P2" xr:uid="{2041DD4F-73F8-46E9-ACDC-F563FF30F22A}">
      <formula1>$R$24:$R$28</formula1>
    </dataValidation>
  </dataValidations>
  <hyperlinks>
    <hyperlink ref="U24" r:id="rId1" display="https://en.wikipedia.org/wiki/Rec._2020 " xr:uid="{1BEB9034-96A9-473D-86AF-0F9A7FC44066}"/>
    <hyperlink ref="U25" r:id="rId2" xr:uid="{B613EA1D-EBF9-4AE9-94D5-EDADA69905F4}"/>
    <hyperlink ref="U26" r:id="rId3" xr:uid="{3BD3FDB9-EA47-4E67-8883-81D421391376}"/>
    <hyperlink ref="Y13" r:id="rId4" xr:uid="{4115251A-60BE-4EE6-85C8-71F7411E2B4D}"/>
    <hyperlink ref="Y12" r:id="rId5" xr:uid="{F00BF693-8689-4B81-A7B9-A319B975C2D5}"/>
    <hyperlink ref="Y11" r:id="rId6" xr:uid="{3BCA94E6-0E9C-4506-8D45-6C76BCDEF489}"/>
    <hyperlink ref="U30" r:id="rId7" xr:uid="{AF398477-0C90-45D3-AAD1-B8AC8C3CB2B6}"/>
  </hyperlinks>
  <pageMargins left="0.7" right="0.7" top="0.75" bottom="0.75" header="0.3" footer="0.3"/>
  <pageSetup orientation="portrait" r:id="rId8"/>
  <ignoredErrors>
    <ignoredError sqref="B5:I6 B4:J4 L4:M4" unlockedFormula="1"/>
  </ignoredErrors>
  <drawing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ALL DV Settings</vt:lpstr>
      <vt:lpstr>Player Led (HDR) Settings</vt:lpstr>
      <vt:lpstr>HDR InfoFrame Settings</vt:lpstr>
      <vt:lpstr>'HDR InfoFrame Settings'!HDR10Plus</vt:lpstr>
      <vt:lpstr>HDR10Plus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2024-07-04T21:55:02Z</dcterms:created>
  <dcterms:modified xsi:type="dcterms:W3CDTF">2024-12-26T17:39:40Z</dcterms:modified>
</cp:coreProperties>
</file>